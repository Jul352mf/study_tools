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klaus_moeller_unisg_ch/Documents/99 Freigaben/ACA FS21/01 Videos/Excel Files/"/>
    </mc:Choice>
  </mc:AlternateContent>
  <xr:revisionPtr revIDLastSave="124" documentId="13_ncr:1_{4B789151-BA9F-4C3B-B464-3EFDBDDBEFE1}" xr6:coauthVersionLast="46" xr6:coauthVersionMax="46" xr10:uidLastSave="{BC91C6F8-36FC-694E-8F9D-7FA41EF22D39}"/>
  <bookViews>
    <workbookView xWindow="16800" yWindow="460" windowWidth="16800" windowHeight="19040" activeTab="1" xr2:uid="{00000000-000D-0000-FFFF-FFFF00000000}"/>
  </bookViews>
  <sheets>
    <sheet name="Budgetierte und Ist-Kosten" sheetId="1" r:id="rId1"/>
    <sheet name="LEVEL 1-3 Analyse" sheetId="6" r:id="rId2"/>
    <sheet name="Sheet1" sheetId="3" state="hidden" r:id="rId3"/>
  </sheets>
  <definedNames>
    <definedName name="Variance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6" l="1"/>
  <c r="E41" i="6" l="1"/>
  <c r="H41" i="6"/>
  <c r="H25" i="6"/>
  <c r="C38" i="1"/>
  <c r="C37" i="1"/>
  <c r="B33" i="1"/>
  <c r="C33" i="1" s="1"/>
  <c r="C16" i="1"/>
  <c r="C18" i="1"/>
  <c r="B12" i="1"/>
  <c r="K41" i="6" s="1"/>
  <c r="E38" i="6"/>
  <c r="C40" i="1"/>
  <c r="K25" i="6" l="1"/>
  <c r="K9" i="6"/>
  <c r="H38" i="6"/>
  <c r="E40" i="6"/>
  <c r="E39" i="6"/>
  <c r="E37" i="6"/>
  <c r="E44" i="6"/>
  <c r="H44" i="6"/>
  <c r="H39" i="6"/>
  <c r="H37" i="6"/>
  <c r="B44" i="6"/>
  <c r="B41" i="6"/>
  <c r="B40" i="6"/>
  <c r="B39" i="6"/>
  <c r="B38" i="6"/>
  <c r="B37" i="6"/>
  <c r="K44" i="6"/>
  <c r="K39" i="6"/>
  <c r="K38" i="6"/>
  <c r="K37" i="6"/>
  <c r="B28" i="6"/>
  <c r="B25" i="6"/>
  <c r="B24" i="6"/>
  <c r="B23" i="6"/>
  <c r="B22" i="6"/>
  <c r="H28" i="6"/>
  <c r="K28" i="6"/>
  <c r="H23" i="6"/>
  <c r="H22" i="6"/>
  <c r="H21" i="6"/>
  <c r="K22" i="6"/>
  <c r="K23" i="6"/>
  <c r="K21" i="6"/>
  <c r="K12" i="6"/>
  <c r="B12" i="6"/>
  <c r="B9" i="6"/>
  <c r="B8" i="6"/>
  <c r="K7" i="6"/>
  <c r="B7" i="6"/>
  <c r="K6" i="6"/>
  <c r="B6" i="6"/>
  <c r="K5" i="6"/>
  <c r="B5" i="6"/>
  <c r="C17" i="1"/>
  <c r="C19" i="1" s="1"/>
  <c r="H40" i="6" l="1"/>
  <c r="I40" i="6" s="1"/>
  <c r="K24" i="6"/>
  <c r="K26" i="6" s="1"/>
  <c r="K27" i="6" s="1"/>
  <c r="K29" i="6" s="1"/>
  <c r="H24" i="6"/>
  <c r="C24" i="6" s="1"/>
  <c r="K40" i="6"/>
  <c r="K42" i="6" s="1"/>
  <c r="K43" i="6" s="1"/>
  <c r="K45" i="6" s="1"/>
  <c r="K8" i="6"/>
  <c r="C8" i="6" s="1"/>
  <c r="C22" i="6"/>
  <c r="C23" i="6"/>
  <c r="C28" i="6"/>
  <c r="C21" i="6"/>
  <c r="C25" i="6"/>
  <c r="C39" i="6"/>
  <c r="C37" i="6"/>
  <c r="C44" i="6"/>
  <c r="B42" i="6"/>
  <c r="B43" i="6" s="1"/>
  <c r="B45" i="6" s="1"/>
  <c r="C40" i="6"/>
  <c r="C38" i="6"/>
  <c r="C5" i="6"/>
  <c r="I25" i="6"/>
  <c r="B10" i="6"/>
  <c r="B11" i="6" s="1"/>
  <c r="K10" i="6"/>
  <c r="C6" i="6"/>
  <c r="C12" i="6"/>
  <c r="C9" i="6"/>
  <c r="F37" i="6"/>
  <c r="F38" i="6"/>
  <c r="I21" i="6"/>
  <c r="C41" i="6"/>
  <c r="F39" i="6"/>
  <c r="I39" i="6"/>
  <c r="I22" i="6"/>
  <c r="I37" i="6"/>
  <c r="E42" i="6"/>
  <c r="B26" i="6"/>
  <c r="C7" i="6"/>
  <c r="I24" i="6" l="1"/>
  <c r="H26" i="6"/>
  <c r="H27" i="6" s="1"/>
  <c r="C10" i="6"/>
  <c r="K11" i="6"/>
  <c r="K13" i="6" s="1"/>
  <c r="C42" i="6"/>
  <c r="B27" i="6"/>
  <c r="I38" i="6"/>
  <c r="E43" i="6"/>
  <c r="I23" i="6"/>
  <c r="H42" i="6"/>
  <c r="F42" i="6" s="1"/>
  <c r="F41" i="6"/>
  <c r="I41" i="6"/>
  <c r="F40" i="6"/>
  <c r="B13" i="6"/>
  <c r="C26" i="6" l="1"/>
  <c r="C13" i="6"/>
  <c r="C11" i="6"/>
  <c r="C27" i="6"/>
  <c r="B29" i="6"/>
  <c r="E45" i="6"/>
  <c r="C43" i="6"/>
  <c r="I42" i="6"/>
  <c r="H43" i="6"/>
  <c r="I26" i="6"/>
  <c r="H45" i="6" l="1"/>
  <c r="I45" i="6" s="1"/>
  <c r="I43" i="6"/>
  <c r="H29" i="6"/>
  <c r="C29" i="6" s="1"/>
  <c r="I27" i="6"/>
  <c r="F43" i="6"/>
  <c r="C45" i="6"/>
  <c r="I29" i="6" l="1"/>
  <c r="F45" i="6"/>
</calcChain>
</file>

<file path=xl/sharedStrings.xml><?xml version="1.0" encoding="utf-8"?>
<sst xmlns="http://schemas.openxmlformats.org/spreadsheetml/2006/main" count="130" uniqueCount="44">
  <si>
    <t>F</t>
  </si>
  <si>
    <t>U</t>
  </si>
  <si>
    <t>LEVEL 1</t>
  </si>
  <si>
    <t>LEVEL 2</t>
  </si>
  <si>
    <t>LEVEL 3</t>
  </si>
  <si>
    <t>-</t>
  </si>
  <si>
    <t>Hype Sneakers hat die folgenden Kategorien mit variablen Kosten:</t>
  </si>
  <si>
    <t>Budgetierte Ergebnisse für 2019</t>
  </si>
  <si>
    <t>Direkte Materialkosten</t>
  </si>
  <si>
    <t>Lederpreis pro m2</t>
  </si>
  <si>
    <t>Benötigtes Leder für ein Paar Turnschuhe in m2</t>
  </si>
  <si>
    <t>Direkte Fertigungsarbeit</t>
  </si>
  <si>
    <t>Fertigungskosten pro Einheit</t>
  </si>
  <si>
    <t>Kostenrate pro Maschinenstunde</t>
  </si>
  <si>
    <t>Maschinenstunden</t>
  </si>
  <si>
    <t>Maschinenstunden pro Einheit</t>
  </si>
  <si>
    <t>Budgetiert für 2019</t>
  </si>
  <si>
    <t>Einheiten zur Herstellung und zum Verkauf</t>
  </si>
  <si>
    <t>Direkte Fertigungskosten</t>
  </si>
  <si>
    <t>Variable Fertigungsgemeinkosten</t>
  </si>
  <si>
    <t>Summe variable Kosten</t>
  </si>
  <si>
    <t>Summe Fixkosten</t>
  </si>
  <si>
    <t>Geplanter Verkaufspreis pro Paar Turnschuhe</t>
  </si>
  <si>
    <t>Ist-Ergebnisse für 2019</t>
  </si>
  <si>
    <t>Direkte Fertigungsarbeit (Leder)</t>
  </si>
  <si>
    <t>Summe direkte Materialkosten</t>
  </si>
  <si>
    <t>Summe direkte Fertigungskosten</t>
  </si>
  <si>
    <t>Summe variable Fertigungsgemeinkosten</t>
  </si>
  <si>
    <t>Erstellen Sie einen Leistungsbericht, der ein flexibles Budget und ein statisches Budget verwendet.</t>
  </si>
  <si>
    <t>Verkaufte Einheiten</t>
  </si>
  <si>
    <t>Erlöse</t>
  </si>
  <si>
    <t>Deckungsbeitrag</t>
  </si>
  <si>
    <t>Fixkosten</t>
  </si>
  <si>
    <t>Betriebsergebnis</t>
  </si>
  <si>
    <t>Ist-Ergebnis    (1)</t>
  </si>
  <si>
    <t>Statische Budgetabweichung</t>
  </si>
  <si>
    <t>Flexible Budgetabweichung
(1 - 3)</t>
  </si>
  <si>
    <t>Statisches Budget      (2)</t>
  </si>
  <si>
    <t>Flexibles Budget
(3)</t>
  </si>
  <si>
    <t>Absatzvolumenabweichung
(3 - 2)</t>
  </si>
  <si>
    <t>Preisabweichung 
(1 - 4)</t>
  </si>
  <si>
    <t>Effizienzabweichung
(4 - 3)</t>
  </si>
  <si>
    <t>G</t>
  </si>
  <si>
    <t>Flexibler Budget - Input
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</si>
</sst>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"/>
    <numFmt numFmtId="167" formatCode="&quot;CHF&quot;\ #,##0.00"/>
    <numFmt numFmtId="168" formatCode="&quot;CHF&quot;\ #,##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898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1F7ED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48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1" applyNumberFormat="1" applyFont="1" applyAlignment="1"/>
    <xf numFmtId="0" fontId="3" fillId="0" borderId="0" xfId="6"/>
    <xf numFmtId="0" fontId="5" fillId="0" borderId="0" xfId="8" applyFont="1"/>
    <xf numFmtId="0" fontId="4" fillId="0" borderId="0" xfId="13" applyFont="1" applyAlignment="1">
      <alignment horizontal="left" vertical="top"/>
    </xf>
    <xf numFmtId="0" fontId="4" fillId="0" borderId="0" xfId="14" applyFont="1" applyAlignment="1">
      <alignment vertical="top" wrapText="1"/>
    </xf>
    <xf numFmtId="166" fontId="4" fillId="0" borderId="0" xfId="16" applyNumberFormat="1" applyFont="1" applyAlignment="1">
      <alignment horizontal="right" vertical="top"/>
    </xf>
    <xf numFmtId="0" fontId="4" fillId="0" borderId="0" xfId="1" applyNumberFormat="1" applyFont="1" applyAlignment="1">
      <alignment horizontal="left" vertical="top" wrapText="1"/>
    </xf>
    <xf numFmtId="0" fontId="5" fillId="0" borderId="3" xfId="21" applyFont="1" applyFill="1" applyBorder="1" applyAlignment="1">
      <alignment horizontal="left"/>
    </xf>
    <xf numFmtId="0" fontId="5" fillId="0" borderId="1" xfId="21" applyFont="1" applyFill="1" applyBorder="1"/>
    <xf numFmtId="0" fontId="4" fillId="3" borderId="5" xfId="13" applyFont="1" applyFill="1" applyBorder="1" applyAlignment="1">
      <alignment horizontal="left" vertical="top"/>
    </xf>
    <xf numFmtId="0" fontId="4" fillId="3" borderId="1" xfId="13" applyFont="1" applyFill="1" applyBorder="1" applyAlignment="1">
      <alignment horizontal="left" vertical="top"/>
    </xf>
    <xf numFmtId="0" fontId="4" fillId="0" borderId="0" xfId="13" applyFont="1" applyBorder="1" applyAlignment="1">
      <alignment horizontal="left" vertical="top"/>
    </xf>
    <xf numFmtId="0" fontId="4" fillId="3" borderId="0" xfId="1" applyNumberFormat="1" applyFont="1" applyFill="1" applyBorder="1" applyAlignment="1">
      <alignment horizontal="left" vertical="top" wrapText="1"/>
    </xf>
    <xf numFmtId="0" fontId="4" fillId="4" borderId="0" xfId="1" applyNumberFormat="1" applyFont="1" applyFill="1" applyBorder="1" applyAlignment="1">
      <alignment horizontal="left" vertical="top" wrapText="1"/>
    </xf>
    <xf numFmtId="167" fontId="4" fillId="3" borderId="0" xfId="1" applyNumberFormat="1" applyFont="1" applyFill="1" applyBorder="1" applyAlignment="1">
      <alignment horizontal="right" vertical="top" wrapText="1"/>
    </xf>
    <xf numFmtId="167" fontId="4" fillId="3" borderId="5" xfId="1" applyNumberFormat="1" applyFont="1" applyFill="1" applyBorder="1" applyAlignment="1">
      <alignment horizontal="right" vertical="top" wrapText="1"/>
    </xf>
    <xf numFmtId="0" fontId="4" fillId="3" borderId="0" xfId="13" applyFont="1" applyFill="1" applyBorder="1" applyAlignment="1">
      <alignment horizontal="left" vertical="top"/>
    </xf>
    <xf numFmtId="0" fontId="7" fillId="4" borderId="0" xfId="1" applyNumberFormat="1" applyFont="1" applyFill="1" applyBorder="1" applyAlignment="1">
      <alignment horizontal="left" vertical="top"/>
    </xf>
    <xf numFmtId="0" fontId="6" fillId="4" borderId="0" xfId="1" applyNumberFormat="1" applyFont="1" applyFill="1" applyBorder="1" applyAlignment="1">
      <alignment horizontal="left" vertical="top"/>
    </xf>
    <xf numFmtId="0" fontId="4" fillId="6" borderId="0" xfId="13" applyFont="1" applyFill="1" applyBorder="1" applyAlignment="1">
      <alignment horizontal="left" vertical="top"/>
    </xf>
    <xf numFmtId="0" fontId="4" fillId="6" borderId="0" xfId="1" applyNumberFormat="1" applyFont="1" applyFill="1" applyBorder="1" applyAlignment="1">
      <alignment horizontal="left" vertical="top" wrapText="1"/>
    </xf>
    <xf numFmtId="0" fontId="5" fillId="3" borderId="1" xfId="1" applyNumberFormat="1" applyFont="1" applyFill="1" applyBorder="1" applyAlignment="1">
      <alignment horizontal="left" vertical="top" wrapText="1"/>
    </xf>
    <xf numFmtId="0" fontId="4" fillId="3" borderId="1" xfId="1" applyNumberFormat="1" applyFont="1" applyFill="1" applyBorder="1" applyAlignment="1">
      <alignment horizontal="left" vertical="top" wrapText="1"/>
    </xf>
    <xf numFmtId="0" fontId="5" fillId="3" borderId="1" xfId="1" applyNumberFormat="1" applyFont="1" applyFill="1" applyBorder="1" applyAlignment="1">
      <alignment horizontal="right" vertical="top" wrapText="1"/>
    </xf>
    <xf numFmtId="167" fontId="4" fillId="6" borderId="0" xfId="1" applyNumberFormat="1" applyFont="1" applyFill="1" applyBorder="1" applyAlignment="1">
      <alignment horizontal="right" vertical="top" wrapText="1"/>
    </xf>
    <xf numFmtId="0" fontId="5" fillId="6" borderId="1" xfId="1" applyNumberFormat="1" applyFont="1" applyFill="1" applyBorder="1" applyAlignment="1">
      <alignment horizontal="left" vertical="top" wrapText="1"/>
    </xf>
    <xf numFmtId="0" fontId="4" fillId="6" borderId="1" xfId="1" applyNumberFormat="1" applyFont="1" applyFill="1" applyBorder="1" applyAlignment="1">
      <alignment horizontal="left" vertical="top" wrapText="1"/>
    </xf>
    <xf numFmtId="0" fontId="5" fillId="6" borderId="1" xfId="1" applyNumberFormat="1" applyFont="1" applyFill="1" applyBorder="1" applyAlignment="1">
      <alignment horizontal="right" vertical="top" wrapText="1"/>
    </xf>
    <xf numFmtId="0" fontId="5" fillId="3" borderId="0" xfId="13" applyFont="1" applyFill="1" applyBorder="1" applyAlignment="1">
      <alignment horizontal="left" vertical="top"/>
    </xf>
    <xf numFmtId="167" fontId="5" fillId="3" borderId="0" xfId="1" applyNumberFormat="1" applyFont="1" applyFill="1" applyBorder="1" applyAlignment="1">
      <alignment horizontal="right" vertical="top" wrapText="1"/>
    </xf>
    <xf numFmtId="0" fontId="5" fillId="3" borderId="1" xfId="13" applyFont="1" applyFill="1" applyBorder="1" applyAlignment="1">
      <alignment horizontal="left" vertical="top"/>
    </xf>
    <xf numFmtId="167" fontId="5" fillId="3" borderId="1" xfId="1" applyNumberFormat="1" applyFont="1" applyFill="1" applyBorder="1" applyAlignment="1">
      <alignment horizontal="right" vertical="top" wrapText="1"/>
    </xf>
    <xf numFmtId="3" fontId="4" fillId="3" borderId="1" xfId="17" applyNumberFormat="1" applyFont="1" applyFill="1" applyBorder="1" applyAlignment="1">
      <alignment horizontal="right" vertical="top"/>
    </xf>
    <xf numFmtId="0" fontId="4" fillId="3" borderId="3" xfId="0" applyFont="1" applyFill="1" applyBorder="1"/>
    <xf numFmtId="0" fontId="4" fillId="6" borderId="3" xfId="0" applyFont="1" applyFill="1" applyBorder="1"/>
    <xf numFmtId="0" fontId="4" fillId="6" borderId="1" xfId="13" applyFont="1" applyFill="1" applyBorder="1" applyAlignment="1">
      <alignment horizontal="left" vertical="top"/>
    </xf>
    <xf numFmtId="3" fontId="4" fillId="6" borderId="1" xfId="17" applyNumberFormat="1" applyFont="1" applyFill="1" applyBorder="1" applyAlignment="1">
      <alignment horizontal="right" vertical="top"/>
    </xf>
    <xf numFmtId="0" fontId="5" fillId="6" borderId="1" xfId="13" applyFont="1" applyFill="1" applyBorder="1" applyAlignment="1">
      <alignment horizontal="left" vertical="top"/>
    </xf>
    <xf numFmtId="167" fontId="5" fillId="6" borderId="1" xfId="1" applyNumberFormat="1" applyFont="1" applyFill="1" applyBorder="1" applyAlignment="1">
      <alignment horizontal="right" vertical="top" wrapText="1"/>
    </xf>
    <xf numFmtId="0" fontId="4" fillId="6" borderId="5" xfId="13" applyFont="1" applyFill="1" applyBorder="1" applyAlignment="1">
      <alignment horizontal="left" vertical="top"/>
    </xf>
    <xf numFmtId="167" fontId="4" fillId="6" borderId="5" xfId="1" applyNumberFormat="1" applyFont="1" applyFill="1" applyBorder="1" applyAlignment="1">
      <alignment horizontal="right" vertical="top" wrapText="1"/>
    </xf>
    <xf numFmtId="0" fontId="5" fillId="6" borderId="0" xfId="13" applyFont="1" applyFill="1" applyBorder="1" applyAlignment="1">
      <alignment horizontal="left" vertical="top"/>
    </xf>
    <xf numFmtId="167" fontId="5" fillId="6" borderId="0" xfId="1" applyNumberFormat="1" applyFont="1" applyFill="1" applyBorder="1" applyAlignment="1">
      <alignment horizontal="right" vertical="top" wrapText="1"/>
    </xf>
    <xf numFmtId="2" fontId="4" fillId="3" borderId="0" xfId="1" applyNumberFormat="1" applyFont="1" applyFill="1" applyBorder="1" applyAlignment="1">
      <alignment horizontal="right" vertical="top" wrapText="1"/>
    </xf>
    <xf numFmtId="2" fontId="4" fillId="6" borderId="0" xfId="1" applyNumberFormat="1" applyFont="1" applyFill="1" applyBorder="1" applyAlignment="1">
      <alignment horizontal="right" vertical="top" wrapText="1"/>
    </xf>
    <xf numFmtId="3" fontId="4" fillId="4" borderId="13" xfId="19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8" fontId="4" fillId="4" borderId="13" xfId="18" applyNumberFormat="1" applyFont="1" applyFill="1" applyBorder="1" applyAlignment="1">
      <alignment horizontal="center"/>
    </xf>
    <xf numFmtId="167" fontId="4" fillId="4" borderId="14" xfId="19" applyNumberFormat="1" applyFont="1" applyFill="1" applyBorder="1" applyAlignment="1">
      <alignment horizontal="center"/>
    </xf>
    <xf numFmtId="3" fontId="4" fillId="4" borderId="0" xfId="19" applyNumberFormat="1" applyFont="1" applyFill="1" applyBorder="1" applyAlignment="1">
      <alignment horizontal="center"/>
    </xf>
    <xf numFmtId="3" fontId="4" fillId="4" borderId="1" xfId="19" applyNumberFormat="1" applyFont="1" applyFill="1" applyBorder="1" applyAlignment="1">
      <alignment horizontal="center"/>
    </xf>
    <xf numFmtId="0" fontId="9" fillId="8" borderId="15" xfId="1" applyNumberFormat="1" applyFont="1" applyFill="1" applyBorder="1" applyAlignment="1">
      <alignment horizontal="center" vertical="center" wrapText="1"/>
    </xf>
    <xf numFmtId="3" fontId="4" fillId="2" borderId="21" xfId="19" applyNumberFormat="1" applyFont="1" applyFill="1" applyBorder="1" applyAlignment="1">
      <alignment horizontal="center"/>
    </xf>
    <xf numFmtId="168" fontId="5" fillId="2" borderId="19" xfId="18" applyNumberFormat="1" applyFont="1" applyFill="1" applyBorder="1" applyAlignment="1">
      <alignment horizontal="center"/>
    </xf>
    <xf numFmtId="0" fontId="5" fillId="0" borderId="8" xfId="7" applyFont="1" applyBorder="1"/>
    <xf numFmtId="0" fontId="9" fillId="7" borderId="15" xfId="1" applyNumberFormat="1" applyFont="1" applyFill="1" applyBorder="1" applyAlignment="1">
      <alignment horizontal="center" vertical="center" wrapText="1"/>
    </xf>
    <xf numFmtId="3" fontId="4" fillId="6" borderId="16" xfId="19" applyNumberFormat="1" applyFont="1" applyFill="1" applyBorder="1" applyAlignment="1">
      <alignment horizontal="right"/>
    </xf>
    <xf numFmtId="168" fontId="5" fillId="6" borderId="16" xfId="18" applyNumberFormat="1" applyFont="1" applyFill="1" applyBorder="1"/>
    <xf numFmtId="3" fontId="4" fillId="6" borderId="20" xfId="19" applyNumberFormat="1" applyFont="1" applyFill="1" applyBorder="1"/>
    <xf numFmtId="3" fontId="4" fillId="6" borderId="21" xfId="19" applyNumberFormat="1" applyFont="1" applyFill="1" applyBorder="1"/>
    <xf numFmtId="168" fontId="5" fillId="6" borderId="19" xfId="18" applyNumberFormat="1" applyFont="1" applyFill="1" applyBorder="1"/>
    <xf numFmtId="166" fontId="4" fillId="4" borderId="4" xfId="20" applyNumberFormat="1" applyFont="1" applyFill="1" applyBorder="1" applyAlignment="1">
      <alignment horizontal="left"/>
    </xf>
    <xf numFmtId="166" fontId="4" fillId="4" borderId="11" xfId="20" applyNumberFormat="1" applyFont="1" applyFill="1" applyBorder="1" applyAlignment="1">
      <alignment horizontal="left"/>
    </xf>
    <xf numFmtId="166" fontId="4" fillId="4" borderId="22" xfId="20" applyNumberFormat="1" applyFont="1" applyFill="1" applyBorder="1" applyAlignment="1">
      <alignment horizontal="left"/>
    </xf>
    <xf numFmtId="166" fontId="4" fillId="4" borderId="10" xfId="20" applyNumberFormat="1" applyFont="1" applyFill="1" applyBorder="1" applyAlignment="1">
      <alignment horizontal="left"/>
    </xf>
    <xf numFmtId="166" fontId="4" fillId="4" borderId="7" xfId="20" applyNumberFormat="1" applyFont="1" applyFill="1" applyBorder="1" applyAlignment="1">
      <alignment horizontal="left"/>
    </xf>
    <xf numFmtId="0" fontId="9" fillId="5" borderId="15" xfId="1" applyNumberFormat="1" applyFont="1" applyFill="1" applyBorder="1" applyAlignment="1">
      <alignment horizontal="center" vertical="center" wrapText="1"/>
    </xf>
    <xf numFmtId="3" fontId="4" fillId="3" borderId="16" xfId="19" applyNumberFormat="1" applyFont="1" applyFill="1" applyBorder="1"/>
    <xf numFmtId="168" fontId="5" fillId="3" borderId="16" xfId="18" applyNumberFormat="1" applyFont="1" applyFill="1" applyBorder="1"/>
    <xf numFmtId="3" fontId="4" fillId="3" borderId="20" xfId="19" applyNumberFormat="1" applyFont="1" applyFill="1" applyBorder="1"/>
    <xf numFmtId="3" fontId="4" fillId="3" borderId="21" xfId="19" applyNumberFormat="1" applyFont="1" applyFill="1" applyBorder="1"/>
    <xf numFmtId="168" fontId="5" fillId="3" borderId="19" xfId="18" applyNumberFormat="1" applyFont="1" applyFill="1" applyBorder="1"/>
    <xf numFmtId="168" fontId="5" fillId="3" borderId="18" xfId="18" applyNumberFormat="1" applyFont="1" applyFill="1" applyBorder="1"/>
    <xf numFmtId="168" fontId="5" fillId="3" borderId="17" xfId="18" applyNumberFormat="1" applyFont="1" applyFill="1" applyBorder="1"/>
    <xf numFmtId="3" fontId="4" fillId="2" borderId="16" xfId="19" applyNumberFormat="1" applyFont="1" applyFill="1" applyBorder="1" applyAlignment="1">
      <alignment horizontal="center"/>
    </xf>
    <xf numFmtId="168" fontId="5" fillId="2" borderId="16" xfId="18" applyNumberFormat="1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168" fontId="5" fillId="6" borderId="12" xfId="18" applyNumberFormat="1" applyFont="1" applyFill="1" applyBorder="1"/>
    <xf numFmtId="3" fontId="4" fillId="10" borderId="21" xfId="19" applyNumberFormat="1" applyFont="1" applyFill="1" applyBorder="1" applyAlignment="1">
      <alignment horizontal="center"/>
    </xf>
    <xf numFmtId="168" fontId="5" fillId="10" borderId="19" xfId="18" applyNumberFormat="1" applyFont="1" applyFill="1" applyBorder="1" applyAlignment="1">
      <alignment horizontal="center"/>
    </xf>
    <xf numFmtId="168" fontId="5" fillId="10" borderId="12" xfId="18" applyNumberFormat="1" applyFont="1" applyFill="1" applyBorder="1" applyAlignment="1">
      <alignment horizontal="center"/>
    </xf>
    <xf numFmtId="168" fontId="5" fillId="2" borderId="12" xfId="18" applyNumberFormat="1" applyFont="1" applyFill="1" applyBorder="1" applyAlignment="1">
      <alignment horizontal="center"/>
    </xf>
    <xf numFmtId="168" fontId="5" fillId="3" borderId="12" xfId="18" applyNumberFormat="1" applyFont="1" applyFill="1" applyBorder="1"/>
    <xf numFmtId="3" fontId="4" fillId="4" borderId="5" xfId="19" applyNumberFormat="1" applyFont="1" applyFill="1" applyBorder="1" applyAlignment="1">
      <alignment horizontal="center"/>
    </xf>
    <xf numFmtId="168" fontId="4" fillId="4" borderId="5" xfId="18" applyNumberFormat="1" applyFont="1" applyFill="1" applyBorder="1" applyAlignment="1">
      <alignment horizontal="center"/>
    </xf>
    <xf numFmtId="0" fontId="9" fillId="9" borderId="15" xfId="1" applyNumberFormat="1" applyFont="1" applyFill="1" applyBorder="1" applyAlignment="1">
      <alignment horizontal="center" vertical="center" wrapText="1"/>
    </xf>
    <xf numFmtId="3" fontId="4" fillId="10" borderId="16" xfId="19" applyNumberFormat="1" applyFont="1" applyFill="1" applyBorder="1" applyAlignment="1">
      <alignment horizontal="center"/>
    </xf>
    <xf numFmtId="168" fontId="5" fillId="10" borderId="16" xfId="18" applyNumberFormat="1" applyFont="1" applyFill="1" applyBorder="1" applyAlignment="1">
      <alignment horizontal="center"/>
    </xf>
    <xf numFmtId="0" fontId="5" fillId="0" borderId="8" xfId="21" applyFont="1" applyFill="1" applyBorder="1"/>
    <xf numFmtId="168" fontId="5" fillId="6" borderId="15" xfId="18" applyNumberFormat="1" applyFont="1" applyFill="1" applyBorder="1"/>
    <xf numFmtId="168" fontId="5" fillId="3" borderId="15" xfId="18" applyNumberFormat="1" applyFont="1" applyFill="1" applyBorder="1"/>
    <xf numFmtId="0" fontId="5" fillId="3" borderId="5" xfId="1" applyNumberFormat="1" applyFont="1" applyFill="1" applyBorder="1" applyAlignment="1">
      <alignment vertical="center" wrapText="1"/>
    </xf>
    <xf numFmtId="166" fontId="4" fillId="4" borderId="5" xfId="20" applyNumberFormat="1" applyFont="1" applyFill="1" applyBorder="1" applyAlignment="1">
      <alignment horizontal="left"/>
    </xf>
    <xf numFmtId="166" fontId="4" fillId="4" borderId="0" xfId="20" applyNumberFormat="1" applyFont="1" applyFill="1" applyBorder="1" applyAlignment="1">
      <alignment horizontal="left"/>
    </xf>
    <xf numFmtId="166" fontId="4" fillId="4" borderId="3" xfId="20" applyNumberFormat="1" applyFont="1" applyFill="1" applyBorder="1" applyAlignment="1">
      <alignment horizontal="left"/>
    </xf>
    <xf numFmtId="166" fontId="4" fillId="4" borderId="8" xfId="20" applyNumberFormat="1" applyFont="1" applyFill="1" applyBorder="1" applyAlignment="1">
      <alignment horizontal="left"/>
    </xf>
    <xf numFmtId="166" fontId="4" fillId="4" borderId="0" xfId="20" applyNumberFormat="1" applyFont="1" applyFill="1" applyBorder="1" applyAlignment="1"/>
    <xf numFmtId="166" fontId="4" fillId="4" borderId="3" xfId="20" applyNumberFormat="1" applyFont="1" applyFill="1" applyBorder="1" applyAlignment="1"/>
    <xf numFmtId="166" fontId="4" fillId="4" borderId="8" xfId="20" applyNumberFormat="1" applyFont="1" applyFill="1" applyBorder="1" applyAlignment="1"/>
    <xf numFmtId="3" fontId="4" fillId="4" borderId="23" xfId="19" applyNumberFormat="1" applyFont="1" applyFill="1" applyBorder="1" applyAlignment="1">
      <alignment horizontal="center"/>
    </xf>
    <xf numFmtId="3" fontId="4" fillId="4" borderId="25" xfId="19" applyNumberFormat="1" applyFont="1" applyFill="1" applyBorder="1" applyAlignment="1">
      <alignment horizontal="center"/>
    </xf>
    <xf numFmtId="168" fontId="5" fillId="6" borderId="17" xfId="19" applyNumberFormat="1" applyFont="1" applyFill="1" applyBorder="1"/>
    <xf numFmtId="168" fontId="4" fillId="6" borderId="18" xfId="19" applyNumberFormat="1" applyFont="1" applyFill="1" applyBorder="1"/>
    <xf numFmtId="168" fontId="4" fillId="3" borderId="18" xfId="19" applyNumberFormat="1" applyFont="1" applyFill="1" applyBorder="1"/>
    <xf numFmtId="168" fontId="4" fillId="6" borderId="19" xfId="19" applyNumberFormat="1" applyFont="1" applyFill="1" applyBorder="1"/>
    <xf numFmtId="168" fontId="4" fillId="2" borderId="19" xfId="19" applyNumberFormat="1" applyFont="1" applyFill="1" applyBorder="1" applyAlignment="1">
      <alignment horizontal="center"/>
    </xf>
    <xf numFmtId="168" fontId="4" fillId="4" borderId="3" xfId="19" applyNumberFormat="1" applyFont="1" applyFill="1" applyBorder="1" applyAlignment="1">
      <alignment horizontal="center"/>
    </xf>
    <xf numFmtId="168" fontId="4" fillId="4" borderId="8" xfId="19" applyNumberFormat="1" applyFont="1" applyFill="1" applyBorder="1" applyAlignment="1">
      <alignment horizontal="center"/>
    </xf>
    <xf numFmtId="168" fontId="4" fillId="3" borderId="19" xfId="19" applyNumberFormat="1" applyFont="1" applyFill="1" applyBorder="1"/>
    <xf numFmtId="168" fontId="4" fillId="4" borderId="14" xfId="19" applyNumberFormat="1" applyFont="1" applyFill="1" applyBorder="1" applyAlignment="1">
      <alignment horizontal="center"/>
    </xf>
    <xf numFmtId="168" fontId="4" fillId="4" borderId="25" xfId="19" applyNumberFormat="1" applyFont="1" applyFill="1" applyBorder="1" applyAlignment="1">
      <alignment horizontal="center"/>
    </xf>
    <xf numFmtId="168" fontId="5" fillId="2" borderId="15" xfId="18" applyNumberFormat="1" applyFont="1" applyFill="1" applyBorder="1" applyAlignment="1">
      <alignment horizontal="center"/>
    </xf>
    <xf numFmtId="168" fontId="5" fillId="10" borderId="15" xfId="18" applyNumberFormat="1" applyFont="1" applyFill="1" applyBorder="1" applyAlignment="1">
      <alignment horizontal="center"/>
    </xf>
    <xf numFmtId="168" fontId="4" fillId="10" borderId="19" xfId="19" applyNumberFormat="1" applyFont="1" applyFill="1" applyBorder="1" applyAlignment="1">
      <alignment horizontal="center"/>
    </xf>
    <xf numFmtId="168" fontId="5" fillId="6" borderId="17" xfId="18" applyNumberFormat="1" applyFont="1" applyFill="1" applyBorder="1"/>
    <xf numFmtId="0" fontId="2" fillId="3" borderId="1" xfId="13" applyFont="1" applyFill="1" applyBorder="1" applyAlignment="1">
      <alignment horizontal="left" vertical="top"/>
    </xf>
    <xf numFmtId="0" fontId="2" fillId="3" borderId="0" xfId="13" applyFont="1" applyFill="1" applyBorder="1" applyAlignment="1">
      <alignment horizontal="left" vertical="top"/>
    </xf>
    <xf numFmtId="0" fontId="2" fillId="3" borderId="5" xfId="13" applyFont="1" applyFill="1" applyBorder="1" applyAlignment="1">
      <alignment horizontal="left" vertical="top"/>
    </xf>
    <xf numFmtId="0" fontId="2" fillId="6" borderId="1" xfId="13" applyFont="1" applyFill="1" applyBorder="1" applyAlignment="1">
      <alignment horizontal="left" vertical="top"/>
    </xf>
    <xf numFmtId="0" fontId="2" fillId="6" borderId="0" xfId="13" applyFont="1" applyFill="1" applyBorder="1" applyAlignment="1">
      <alignment horizontal="left" vertical="top"/>
    </xf>
    <xf numFmtId="0" fontId="2" fillId="6" borderId="5" xfId="13" applyFont="1" applyFill="1" applyBorder="1" applyAlignment="1">
      <alignment horizontal="left" vertical="top"/>
    </xf>
    <xf numFmtId="0" fontId="2" fillId="0" borderId="0" xfId="7" applyFont="1"/>
    <xf numFmtId="0" fontId="2" fillId="0" borderId="0" xfId="21" applyFont="1" applyFill="1" applyBorder="1" applyAlignment="1">
      <alignment horizontal="left" indent="1"/>
    </xf>
    <xf numFmtId="0" fontId="2" fillId="0" borderId="3" xfId="21" applyFont="1" applyFill="1" applyBorder="1"/>
    <xf numFmtId="166" fontId="2" fillId="4" borderId="4" xfId="20" applyNumberFormat="1" applyFont="1" applyFill="1" applyBorder="1" applyAlignment="1">
      <alignment horizontal="left"/>
    </xf>
    <xf numFmtId="0" fontId="5" fillId="0" borderId="0" xfId="1" applyNumberFormat="1" applyFont="1" applyAlignment="1">
      <alignment horizontal="left" vertical="top" wrapText="1"/>
    </xf>
    <xf numFmtId="0" fontId="5" fillId="3" borderId="3" xfId="1" applyNumberFormat="1" applyFont="1" applyFill="1" applyBorder="1" applyAlignment="1">
      <alignment horizontal="left" vertical="top"/>
    </xf>
    <xf numFmtId="0" fontId="5" fillId="6" borderId="3" xfId="1" applyNumberFormat="1" applyFont="1" applyFill="1" applyBorder="1" applyAlignment="1">
      <alignment horizontal="left" vertical="top"/>
    </xf>
    <xf numFmtId="0" fontId="8" fillId="7" borderId="0" xfId="1" applyNumberFormat="1" applyFont="1" applyFill="1" applyBorder="1" applyAlignment="1">
      <alignment horizontal="left" vertical="top"/>
    </xf>
    <xf numFmtId="0" fontId="8" fillId="5" borderId="0" xfId="1" applyNumberFormat="1" applyFont="1" applyFill="1" applyBorder="1" applyAlignment="1">
      <alignment horizontal="left" vertical="top"/>
    </xf>
    <xf numFmtId="3" fontId="4" fillId="4" borderId="5" xfId="19" applyNumberFormat="1" applyFont="1" applyFill="1" applyBorder="1" applyAlignment="1">
      <alignment horizontal="center"/>
    </xf>
    <xf numFmtId="3" fontId="4" fillId="4" borderId="6" xfId="19" applyNumberFormat="1" applyFont="1" applyFill="1" applyBorder="1" applyAlignment="1">
      <alignment horizontal="center"/>
    </xf>
    <xf numFmtId="168" fontId="4" fillId="4" borderId="5" xfId="18" applyNumberFormat="1" applyFont="1" applyFill="1" applyBorder="1" applyAlignment="1">
      <alignment horizontal="center"/>
    </xf>
    <xf numFmtId="168" fontId="4" fillId="4" borderId="6" xfId="18" applyNumberFormat="1" applyFont="1" applyFill="1" applyBorder="1" applyAlignment="1">
      <alignment horizontal="center"/>
    </xf>
    <xf numFmtId="3" fontId="4" fillId="4" borderId="0" xfId="19" applyNumberFormat="1" applyFont="1" applyFill="1" applyBorder="1" applyAlignment="1">
      <alignment horizontal="center"/>
    </xf>
    <xf numFmtId="168" fontId="4" fillId="4" borderId="8" xfId="19" applyNumberFormat="1" applyFont="1" applyFill="1" applyBorder="1" applyAlignment="1">
      <alignment horizontal="center"/>
    </xf>
    <xf numFmtId="168" fontId="4" fillId="4" borderId="3" xfId="19" applyNumberFormat="1" applyFont="1" applyFill="1" applyBorder="1" applyAlignment="1">
      <alignment horizontal="center"/>
    </xf>
    <xf numFmtId="168" fontId="4" fillId="4" borderId="2" xfId="19" applyNumberFormat="1" applyFont="1" applyFill="1" applyBorder="1" applyAlignment="1">
      <alignment horizontal="center"/>
    </xf>
    <xf numFmtId="0" fontId="5" fillId="3" borderId="5" xfId="1" applyNumberFormat="1" applyFont="1" applyFill="1" applyBorder="1" applyAlignment="1">
      <alignment horizontal="center" vertical="center" wrapText="1"/>
    </xf>
    <xf numFmtId="3" fontId="4" fillId="4" borderId="1" xfId="19" applyNumberFormat="1" applyFont="1" applyFill="1" applyBorder="1" applyAlignment="1">
      <alignment horizontal="center"/>
    </xf>
    <xf numFmtId="168" fontId="4" fillId="4" borderId="9" xfId="19" applyNumberFormat="1" applyFont="1" applyFill="1" applyBorder="1" applyAlignment="1">
      <alignment horizontal="center"/>
    </xf>
    <xf numFmtId="168" fontId="4" fillId="4" borderId="1" xfId="19" applyNumberFormat="1" applyFont="1" applyFill="1" applyBorder="1" applyAlignment="1">
      <alignment horizontal="center"/>
    </xf>
    <xf numFmtId="0" fontId="5" fillId="3" borderId="24" xfId="1" applyNumberFormat="1" applyFont="1" applyFill="1" applyBorder="1" applyAlignment="1">
      <alignment horizontal="center" vertical="center" wrapText="1"/>
    </xf>
    <xf numFmtId="0" fontId="5" fillId="3" borderId="5" xfId="1" applyNumberFormat="1" applyFont="1" applyFill="1" applyBorder="1" applyAlignment="1">
      <alignment horizontal="center" vertical="center"/>
    </xf>
    <xf numFmtId="0" fontId="1" fillId="0" borderId="0" xfId="21" applyFont="1" applyFill="1" applyBorder="1" applyAlignment="1">
      <alignment horizontal="left" indent="1"/>
    </xf>
  </cellXfs>
  <cellStyles count="27">
    <cellStyle name="/+fGzznrPuYOgiEL1dpjDU0faI8zziyjK+6/LiOelP1KqLgzME4GBy6kD0gN3p57-~KlhZV3kmEx7HLUlR04WYUg==" xfId="26" xr:uid="{00000000-0005-0000-0000-000000000000}"/>
    <cellStyle name="+SjayY5pz3ExcMP9KUrR/dRNhXg4uoqHxFVF1s9q1StmQ3p0heXa7t5IRyftG12o-~6ierX0W1s56oH+C8llBusA==" xfId="4" xr:uid="{00000000-0005-0000-0000-000001000000}"/>
    <cellStyle name="0xAn+PrmstC2edytk0TIZzyeck5SL0qMZkI1dWy3WK4eiV7Z5zJLGWV2ahOXDpkN-~EbI7msCLmyGOF/HVfpxlsw==" xfId="17" xr:uid="{00000000-0005-0000-0000-000002000000}"/>
    <cellStyle name="1LnPAHupWAmLLccWHhO3EZZsugIgbAEyvrktGXEP3usuaEoPizAEIVKp8cagaljD-~Jlb/DpV6QlYi13DH7bVmbA==" xfId="24" xr:uid="{00000000-0005-0000-0000-000003000000}"/>
    <cellStyle name="3VtmJKw9s8TrlXqux05JNfpzMpTtCd+Y5sox4iJX3Jye+5vet1dNbS4Ena8aZmFv-~y1lg1qwRpWj/lTMz+QLyYA==" xfId="12" xr:uid="{00000000-0005-0000-0000-000004000000}"/>
    <cellStyle name="8F16Y1Nzrmr346fBizDUVcpM20RcsV1MVNzStvuYbaNhl/k52K3b35HOdX2gghbn-~/X5X1Fu7PeD954sNPSgQrg==" xfId="8" xr:uid="{00000000-0005-0000-0000-000005000000}"/>
    <cellStyle name="A06Ybh+roMYM9Wl586gKCQP+6miehtuneyLiitMpZz+9o/RVrrpb/63ZofPSM0i/-~bH7ep92PAxRE+DOlWEbdWQ==" xfId="10" xr:uid="{00000000-0005-0000-0000-000006000000}"/>
    <cellStyle name="aOBLbpu4Tf819wbCVBIwodrlXaBzhh/KRwCVFHheO4myJJQ6CmjAqiloE8M/SNXU-~4adPTjgeiLp5Vfc8UwuXPQ==" xfId="20" xr:uid="{00000000-0005-0000-0000-000007000000}"/>
    <cellStyle name="Custom Style 1" xfId="1" xr:uid="{00000000-0005-0000-0000-000008000000}"/>
    <cellStyle name="Custom Style 2" xfId="2" xr:uid="{00000000-0005-0000-0000-000009000000}"/>
    <cellStyle name="fmpJnfspcwzjVoZypamai8uboJr8W4stawxQWhvl/R9+iwajkZw02o/ieXh/HCo/-~0IUhtpx6/9ZSv2EBGXN6VQ==" xfId="6" xr:uid="{00000000-0005-0000-0000-00000A000000}"/>
    <cellStyle name="GbgEHt74AJOhUwcItm9qH5FTotwfQLiXt5jxfQE/YdszlzQFYFoiz1+VYpspiGNe-~/wMQtqWR7nbAQdtdAWSC9A==" xfId="21" xr:uid="{00000000-0005-0000-0000-00000B000000}"/>
    <cellStyle name="kSJ2Eco2Wutu0O9JY9e0x6XAQhz7WED3lPk61/oDN8bhSEA0ue+0ZDWxp0WFVfCP-~+RuuHRTSb9zQEh9BwUdiBg==" xfId="14" xr:uid="{00000000-0005-0000-0000-00000C000000}"/>
    <cellStyle name="mAnDSmvcz9QSBRKJE4CmBb+v82artJXIR6v307IIK9JbhDB6IFhew46wQaqZe6oi-~JpJf2BQsaeK2oCOwzkKZKQ==" xfId="15" xr:uid="{00000000-0005-0000-0000-00000D000000}"/>
    <cellStyle name="mdu5nukcYHdXGEabu6l1ZJRFPLEGS+UACuvHX+fNkyai2r8bgRCRimew5YRx+h5U-~qFd71nWRjjQMGc20LyQ4jA==" xfId="7" xr:uid="{00000000-0005-0000-0000-00000E000000}"/>
    <cellStyle name="mmFvr9t4H2VMfzvARtWwZV56KMMkKAn7qqyImqdZ8Z4afq6UGrDCcN/4Xed0fE/q-~Gbz+6+4mRgvGnfHM88Ug0Q==" xfId="16" xr:uid="{00000000-0005-0000-0000-00000F000000}"/>
    <cellStyle name="Mol5ovOzRES924jRkDwNGWR/H6pmZ2pNZXdL81rDK6nv5nZLIs4IkNoRoVd+ECso-~M/k2bgHtGIbSxUXcuv4dAQ==" xfId="3" xr:uid="{00000000-0005-0000-0000-000010000000}"/>
    <cellStyle name="MW568uMj2egmp4AxQv2WcErLpuIoTrF0KJh5MgbL5qSTVUhDEfEbgtXoRIs9lofH-~M0ajPdo8EtxUiYJ1pFgNfQ==" xfId="18" xr:uid="{00000000-0005-0000-0000-000011000000}"/>
    <cellStyle name="n11ZO2X2K0nmLP/CwCFEIzScsu7KVgzFumEdcbmvARuOma0vrJDi6jZnxXoRppza-~YYEFYoXa0V5UX+vJDkgx3A==" xfId="5" xr:uid="{00000000-0005-0000-0000-000012000000}"/>
    <cellStyle name="Rsoi6t8mCnfW8jitIuhyfxjQrp5xD5pCOrXnn0yrDWPfB03K0mZXWkONRO5tCWqO-~oF4/OniLk5uh2eltv64GOg==" xfId="23" xr:uid="{00000000-0005-0000-0000-000013000000}"/>
    <cellStyle name="S2mqYRfYsw+7L7wCVXNkzlylLxIU+QIjNnuPOnzbnM14uEAhqhQq9RmtqjTY37o5-~3kBDLmegmYGkHdQa6nYBQg==" xfId="11" xr:uid="{00000000-0005-0000-0000-000014000000}"/>
    <cellStyle name="SJcCpX7kTrJYxlJ8uhjG5yH+djJ9VpqIjM4xhsgybBDp3TVP0jfQ4T8ec/Gcq2/B-~7fpBqNIxiT9AcHtp89OefA==" xfId="19" xr:uid="{00000000-0005-0000-0000-000015000000}"/>
    <cellStyle name="Standard" xfId="0" builtinId="0"/>
    <cellStyle name="TsUeb7VJ2ZSbi0VtIv3abe+A2zfhtd4HNneFWrQoqr4m8zGaWP5Y9vJ2UCdba6Tl-~KmDD+IX1DVOzoa2/NubYuA==" xfId="13" xr:uid="{00000000-0005-0000-0000-000017000000}"/>
    <cellStyle name="wsxG3BNmVUPOoRNTdXE0gLuFqUu5dZSnH2PaUdMXCYNfIXroy2MDlKTflQRcs3BQ-~nQHwo9TSDj8S2IwgF1xDIA==" xfId="22" xr:uid="{00000000-0005-0000-0000-000018000000}"/>
    <cellStyle name="YG5mprR+b3zMCtyc35xxCDYkK5tNx/LL2p65zna4gQndVMM2e0KR/2uf8jNPrD6p-~3LP41Az5gYaNcG8GvyW9fg==" xfId="25" xr:uid="{00000000-0005-0000-0000-000019000000}"/>
    <cellStyle name="zNv6pqILcL14b8ZiablaCS0CbPKMF0/B/Z3VOzY6xh3SyFa8zDltt94yxhe7oep0-~QfEi0gjXAR+lRkPPoJTN9A==" xfId="9" xr:uid="{00000000-0005-0000-0000-00001A000000}"/>
  </cellStyles>
  <dxfs count="0"/>
  <tableStyles count="0" defaultTableStyle="TableStyleMedium2" defaultPivotStyle="PivotStyleLight16"/>
  <colors>
    <mruColors>
      <color rgb="FFF1F7ED"/>
      <color rgb="FFFF575B"/>
      <color rgb="FFFF7C80"/>
      <color rgb="FFFFF7F7"/>
      <color rgb="FFFFD5D6"/>
      <color rgb="FFFF898C"/>
      <color rgb="FFFFE7E8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27" name="AutoShape 3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DB8601D-8007-4C04-AAFE-77DE70D0EA14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28" name="AutoShape 4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01DD0D7-0D47-4763-9A17-1A7DEBC40205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29" name="AutoShape 5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A52ACD22-78ED-442D-8B96-C27763F9B539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30" name="AutoShape 6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A38A18E-3C15-4F0F-BF2F-D53481A8DC83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304800</xdr:colOff>
      <xdr:row>25</xdr:row>
      <xdr:rowOff>304800</xdr:rowOff>
    </xdr:to>
    <xdr:sp macro="" textlink="">
      <xdr:nvSpPr>
        <xdr:cNvPr id="1031" name="AutoShape 7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4D1E456D-E66B-4E00-981D-C16217E52984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1041400</xdr:colOff>
      <xdr:row>0</xdr:row>
      <xdr:rowOff>1130497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4831A87B-9364-4AFA-902F-B871D63AD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2971800" cy="1130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308429</xdr:colOff>
      <xdr:row>0</xdr:row>
      <xdr:rowOff>1133672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41166EF-316E-4462-9D9A-4DD2D399E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2971800" cy="11304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190500</xdr:rowOff>
    </xdr:from>
    <xdr:to>
      <xdr:col>9</xdr:col>
      <xdr:colOff>330200</xdr:colOff>
      <xdr:row>12</xdr:row>
      <xdr:rowOff>196850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0694ECFF-E22B-4EDA-BE9A-8A276F62B68F}"/>
            </a:ext>
          </a:extLst>
        </xdr:cNvPr>
        <xdr:cNvSpPr/>
      </xdr:nvSpPr>
      <xdr:spPr>
        <a:xfrm>
          <a:off x="3105150" y="3810000"/>
          <a:ext cx="8674100" cy="209550"/>
        </a:xfrm>
        <a:prstGeom prst="rect">
          <a:avLst/>
        </a:prstGeom>
        <a:noFill/>
        <a:ln w="28575">
          <a:solidFill>
            <a:srgbClr val="FF575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1066800</xdr:colOff>
      <xdr:row>13</xdr:row>
      <xdr:rowOff>95250</xdr:rowOff>
    </xdr:from>
    <xdr:to>
      <xdr:col>15</xdr:col>
      <xdr:colOff>6350</xdr:colOff>
      <xdr:row>16</xdr:row>
      <xdr:rowOff>120650</xdr:rowOff>
    </xdr:to>
    <xdr:sp macro="" textlink="">
      <xdr:nvSpPr>
        <xdr:cNvPr id="4" name="Sprechblase: rechteckig 3">
          <a:extLst>
            <a:ext uri="{FF2B5EF4-FFF2-40B4-BE49-F238E27FC236}">
              <a16:creationId xmlns:a16="http://schemas.microsoft.com/office/drawing/2014/main" id="{CDDC462D-7389-4C8A-A6D9-449D701A1F0C}"/>
            </a:ext>
          </a:extLst>
        </xdr:cNvPr>
        <xdr:cNvSpPr/>
      </xdr:nvSpPr>
      <xdr:spPr>
        <a:xfrm>
          <a:off x="12865100" y="4121150"/>
          <a:ext cx="2965450" cy="615950"/>
        </a:xfrm>
        <a:prstGeom prst="wedgeRectCallout">
          <a:avLst>
            <a:gd name="adj1" fmla="val -88761"/>
            <a:gd name="adj2" fmla="val -5946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>
              <a:solidFill>
                <a:sysClr val="windowText" lastClr="000000"/>
              </a:solidFill>
            </a:rPr>
            <a:t>Obwohl der Umsatz um CHF 400'000 zunahm, sank das Betriebsergebnis um CHF 37'600. Der Rückgang ist eine ungünstige Abweichung (U).</a:t>
          </a:r>
        </a:p>
      </xdr:txBody>
    </xdr:sp>
    <xdr:clientData/>
  </xdr:twoCellAnchor>
  <xdr:twoCellAnchor>
    <xdr:from>
      <xdr:col>2</xdr:col>
      <xdr:colOff>12699</xdr:colOff>
      <xdr:row>30</xdr:row>
      <xdr:rowOff>107950</xdr:rowOff>
    </xdr:from>
    <xdr:to>
      <xdr:col>6</xdr:col>
      <xdr:colOff>380999</xdr:colOff>
      <xdr:row>34</xdr:row>
      <xdr:rowOff>184150</xdr:rowOff>
    </xdr:to>
    <xdr:sp macro="" textlink="">
      <xdr:nvSpPr>
        <xdr:cNvPr id="14" name="Geschweifte Klammer links 13">
          <a:extLst>
            <a:ext uri="{FF2B5EF4-FFF2-40B4-BE49-F238E27FC236}">
              <a16:creationId xmlns:a16="http://schemas.microsoft.com/office/drawing/2014/main" id="{F331F02F-9AE3-4C48-96B1-7F157596ECDF}"/>
            </a:ext>
          </a:extLst>
        </xdr:cNvPr>
        <xdr:cNvSpPr/>
      </xdr:nvSpPr>
      <xdr:spPr>
        <a:xfrm rot="5400000">
          <a:off x="4902199" y="5969000"/>
          <a:ext cx="863600" cy="4432300"/>
        </a:xfrm>
        <a:prstGeom prst="leftBrace">
          <a:avLst>
            <a:gd name="adj1" fmla="val 42787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38100</xdr:colOff>
      <xdr:row>13</xdr:row>
      <xdr:rowOff>120650</xdr:rowOff>
    </xdr:from>
    <xdr:to>
      <xdr:col>10</xdr:col>
      <xdr:colOff>6350</xdr:colOff>
      <xdr:row>18</xdr:row>
      <xdr:rowOff>177800</xdr:rowOff>
    </xdr:to>
    <xdr:sp macro="" textlink="">
      <xdr:nvSpPr>
        <xdr:cNvPr id="15" name="Geschweifte Klammer links 14">
          <a:extLst>
            <a:ext uri="{FF2B5EF4-FFF2-40B4-BE49-F238E27FC236}">
              <a16:creationId xmlns:a16="http://schemas.microsoft.com/office/drawing/2014/main" id="{F7A30FA1-E1CD-4ACB-9867-B7B229F16BF6}"/>
            </a:ext>
          </a:extLst>
        </xdr:cNvPr>
        <xdr:cNvSpPr/>
      </xdr:nvSpPr>
      <xdr:spPr>
        <a:xfrm rot="5400000">
          <a:off x="6953250" y="336550"/>
          <a:ext cx="1041400" cy="8661400"/>
        </a:xfrm>
        <a:prstGeom prst="leftBrace">
          <a:avLst>
            <a:gd name="adj1" fmla="val 42787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38100</xdr:colOff>
      <xdr:row>30</xdr:row>
      <xdr:rowOff>107950</xdr:rowOff>
    </xdr:from>
    <xdr:to>
      <xdr:col>7</xdr:col>
      <xdr:colOff>1895856</xdr:colOff>
      <xdr:row>34</xdr:row>
      <xdr:rowOff>184150</xdr:rowOff>
    </xdr:to>
    <xdr:sp macro="" textlink="">
      <xdr:nvSpPr>
        <xdr:cNvPr id="16" name="Geschweifte Klammer links 15">
          <a:extLst>
            <a:ext uri="{FF2B5EF4-FFF2-40B4-BE49-F238E27FC236}">
              <a16:creationId xmlns:a16="http://schemas.microsoft.com/office/drawing/2014/main" id="{481EFBF7-72D3-4CAF-A441-DC7F85FEE5AD}"/>
            </a:ext>
          </a:extLst>
        </xdr:cNvPr>
        <xdr:cNvSpPr/>
      </xdr:nvSpPr>
      <xdr:spPr>
        <a:xfrm rot="5400000">
          <a:off x="8091678" y="7256272"/>
          <a:ext cx="863600" cy="1857756"/>
        </a:xfrm>
        <a:prstGeom prst="leftBrace">
          <a:avLst>
            <a:gd name="adj1" fmla="val 30189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25400</xdr:colOff>
      <xdr:row>30</xdr:row>
      <xdr:rowOff>107950</xdr:rowOff>
    </xdr:from>
    <xdr:to>
      <xdr:col>9</xdr:col>
      <xdr:colOff>311150</xdr:colOff>
      <xdr:row>34</xdr:row>
      <xdr:rowOff>184150</xdr:rowOff>
    </xdr:to>
    <xdr:sp macro="" textlink="">
      <xdr:nvSpPr>
        <xdr:cNvPr id="17" name="Geschweifte Klammer links 16">
          <a:extLst>
            <a:ext uri="{FF2B5EF4-FFF2-40B4-BE49-F238E27FC236}">
              <a16:creationId xmlns:a16="http://schemas.microsoft.com/office/drawing/2014/main" id="{CB845695-7383-4E4A-A1F0-6BA1B159F710}"/>
            </a:ext>
          </a:extLst>
        </xdr:cNvPr>
        <xdr:cNvSpPr/>
      </xdr:nvSpPr>
      <xdr:spPr>
        <a:xfrm rot="5400000">
          <a:off x="10198100" y="7054850"/>
          <a:ext cx="863600" cy="2260600"/>
        </a:xfrm>
        <a:prstGeom prst="leftBrace">
          <a:avLst>
            <a:gd name="adj1" fmla="val 30189"/>
            <a:gd name="adj2" fmla="val 50000"/>
          </a:avLst>
        </a:prstGeom>
        <a:ln w="19050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7</xdr:col>
      <xdr:colOff>1905000</xdr:colOff>
      <xdr:row>27</xdr:row>
      <xdr:rowOff>190500</xdr:rowOff>
    </xdr:from>
    <xdr:to>
      <xdr:col>9</xdr:col>
      <xdr:colOff>342900</xdr:colOff>
      <xdr:row>29</xdr:row>
      <xdr:rowOff>0</xdr:rowOff>
    </xdr:to>
    <xdr:sp macro="" textlink="">
      <xdr:nvSpPr>
        <xdr:cNvPr id="18" name="Rechteck 17">
          <a:extLst>
            <a:ext uri="{FF2B5EF4-FFF2-40B4-BE49-F238E27FC236}">
              <a16:creationId xmlns:a16="http://schemas.microsoft.com/office/drawing/2014/main" id="{0A9778B8-A81D-4EA8-A820-17E7207353E4}"/>
            </a:ext>
          </a:extLst>
        </xdr:cNvPr>
        <xdr:cNvSpPr/>
      </xdr:nvSpPr>
      <xdr:spPr>
        <a:xfrm>
          <a:off x="9461500" y="7232650"/>
          <a:ext cx="2330450" cy="215900"/>
        </a:xfrm>
        <a:prstGeom prst="rect">
          <a:avLst/>
        </a:prstGeom>
        <a:noFill/>
        <a:ln w="28575">
          <a:solidFill>
            <a:srgbClr val="FF575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10</xdr:col>
      <xdr:colOff>1035050</xdr:colOff>
      <xdr:row>29</xdr:row>
      <xdr:rowOff>114300</xdr:rowOff>
    </xdr:from>
    <xdr:to>
      <xdr:col>15</xdr:col>
      <xdr:colOff>279400</xdr:colOff>
      <xdr:row>33</xdr:row>
      <xdr:rowOff>114300</xdr:rowOff>
    </xdr:to>
    <xdr:sp macro="" textlink="">
      <xdr:nvSpPr>
        <xdr:cNvPr id="19" name="Sprechblase: rechteckig 18">
          <a:extLst>
            <a:ext uri="{FF2B5EF4-FFF2-40B4-BE49-F238E27FC236}">
              <a16:creationId xmlns:a16="http://schemas.microsoft.com/office/drawing/2014/main" id="{CF11867A-A997-4EA5-9821-E5E72B43625F}"/>
            </a:ext>
          </a:extLst>
        </xdr:cNvPr>
        <xdr:cNvSpPr/>
      </xdr:nvSpPr>
      <xdr:spPr>
        <a:xfrm>
          <a:off x="14738350" y="7747000"/>
          <a:ext cx="3638550" cy="812800"/>
        </a:xfrm>
        <a:prstGeom prst="wedgeRectCallout">
          <a:avLst>
            <a:gd name="adj1" fmla="val -88761"/>
            <a:gd name="adj2" fmla="val -59468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>
              <a:solidFill>
                <a:sysClr val="windowText" lastClr="000000"/>
              </a:solidFill>
            </a:rPr>
            <a:t>Unter Berücksichtigung der budgetierten Inputfaktoren hätte der Betriebsertrag theoretisch um CHF 120'000 erhöht werden müssen. Diese Erhöhung ist eine günstige Abweichung (G).</a:t>
          </a:r>
        </a:p>
      </xdr:txBody>
    </xdr:sp>
    <xdr:clientData/>
  </xdr:twoCellAnchor>
  <xdr:twoCellAnchor>
    <xdr:from>
      <xdr:col>5</xdr:col>
      <xdr:colOff>12700</xdr:colOff>
      <xdr:row>38</xdr:row>
      <xdr:rowOff>6350</xdr:rowOff>
    </xdr:from>
    <xdr:to>
      <xdr:col>6</xdr:col>
      <xdr:colOff>381000</xdr:colOff>
      <xdr:row>39</xdr:row>
      <xdr:rowOff>12700</xdr:rowOff>
    </xdr:to>
    <xdr:sp macro="" textlink="">
      <xdr:nvSpPr>
        <xdr:cNvPr id="20" name="Rechteck 19">
          <a:extLst>
            <a:ext uri="{FF2B5EF4-FFF2-40B4-BE49-F238E27FC236}">
              <a16:creationId xmlns:a16="http://schemas.microsoft.com/office/drawing/2014/main" id="{DCC646B6-5407-4024-BAC7-C9F226B5EFE3}"/>
            </a:ext>
          </a:extLst>
        </xdr:cNvPr>
        <xdr:cNvSpPr/>
      </xdr:nvSpPr>
      <xdr:spPr>
        <a:xfrm>
          <a:off x="6026150" y="9518650"/>
          <a:ext cx="1524000" cy="203200"/>
        </a:xfrm>
        <a:prstGeom prst="rect">
          <a:avLst/>
        </a:prstGeom>
        <a:noFill/>
        <a:ln w="28575">
          <a:solidFill>
            <a:srgbClr val="FF575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838200</xdr:colOff>
      <xdr:row>48</xdr:row>
      <xdr:rowOff>44450</xdr:rowOff>
    </xdr:from>
    <xdr:to>
      <xdr:col>8</xdr:col>
      <xdr:colOff>647700</xdr:colOff>
      <xdr:row>52</xdr:row>
      <xdr:rowOff>12700</xdr:rowOff>
    </xdr:to>
    <xdr:sp macro="" textlink="">
      <xdr:nvSpPr>
        <xdr:cNvPr id="21" name="Sprechblase: rechteckig 20">
          <a:extLst>
            <a:ext uri="{FF2B5EF4-FFF2-40B4-BE49-F238E27FC236}">
              <a16:creationId xmlns:a16="http://schemas.microsoft.com/office/drawing/2014/main" id="{794954CA-26F0-44B4-AD27-6D149CBA92CB}"/>
            </a:ext>
          </a:extLst>
        </xdr:cNvPr>
        <xdr:cNvSpPr/>
      </xdr:nvSpPr>
      <xdr:spPr>
        <a:xfrm>
          <a:off x="8229600" y="11868150"/>
          <a:ext cx="3581400" cy="781050"/>
        </a:xfrm>
        <a:prstGeom prst="wedgeRectCallout">
          <a:avLst>
            <a:gd name="adj1" fmla="val -32472"/>
            <a:gd name="adj2" fmla="val -312399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100">
              <a:solidFill>
                <a:sysClr val="windowText" lastClr="000000"/>
              </a:solidFill>
            </a:rPr>
            <a:t>Die tatsächliche Menge an Leder, die für die Produktion von einem Paar Turnschuhen verwendet wird, ist 0,2 m2 höher als budgetiert. Insgesamt führt dies zu Mehrkosten von 96'000.</a:t>
          </a:r>
        </a:p>
      </xdr:txBody>
    </xdr:sp>
    <xdr:clientData/>
  </xdr:twoCellAnchor>
  <xdr:twoCellAnchor editAs="oneCell">
    <xdr:from>
      <xdr:col>1</xdr:col>
      <xdr:colOff>196850</xdr:colOff>
      <xdr:row>11</xdr:row>
      <xdr:rowOff>152400</xdr:rowOff>
    </xdr:from>
    <xdr:to>
      <xdr:col>1</xdr:col>
      <xdr:colOff>590550</xdr:colOff>
      <xdr:row>12</xdr:row>
      <xdr:rowOff>152400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E171EA-57E3-5D44-BD68-DD5D445C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5150" y="3810000"/>
          <a:ext cx="393700" cy="21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showGridLines="0" topLeftCell="A11" zoomScaleNormal="100" workbookViewId="0">
      <selection activeCell="B26" sqref="B26:D42"/>
    </sheetView>
  </sheetViews>
  <sheetFormatPr baseColWidth="10" defaultColWidth="8.83203125" defaultRowHeight="16" x14ac:dyDescent="0.2"/>
  <cols>
    <col min="1" max="1" width="27.6640625" style="1" customWidth="1"/>
    <col min="2" max="2" width="38.1640625" style="1" bestFit="1" customWidth="1"/>
    <col min="3" max="3" width="29.33203125" style="1" bestFit="1" customWidth="1"/>
    <col min="4" max="4" width="32.83203125" style="1" customWidth="1"/>
    <col min="5" max="8" width="8.83203125" style="1"/>
    <col min="9" max="9" width="13.33203125" style="1" customWidth="1"/>
    <col min="10" max="16384" width="8.83203125" style="1"/>
  </cols>
  <sheetData>
    <row r="1" spans="1:9" ht="94" customHeight="1" x14ac:dyDescent="0.2">
      <c r="A1" s="5"/>
    </row>
    <row r="2" spans="1:9" ht="21" customHeight="1" x14ac:dyDescent="0.2">
      <c r="A2" s="128" t="s">
        <v>6</v>
      </c>
      <c r="B2" s="128"/>
      <c r="C2" s="128"/>
      <c r="D2" s="128"/>
      <c r="E2" s="128"/>
      <c r="F2" s="128"/>
      <c r="G2" s="128"/>
      <c r="H2" s="128"/>
      <c r="I2" s="7"/>
    </row>
    <row r="3" spans="1:9" ht="19" x14ac:dyDescent="0.2">
      <c r="A3" s="132" t="s">
        <v>7</v>
      </c>
      <c r="B3" s="132"/>
      <c r="C3" s="132"/>
      <c r="D3" s="132"/>
      <c r="E3" s="9"/>
      <c r="F3" s="9"/>
      <c r="G3" s="9"/>
      <c r="H3" s="9"/>
      <c r="I3" s="7"/>
    </row>
    <row r="4" spans="1:9" ht="19" x14ac:dyDescent="0.2">
      <c r="A4" s="20"/>
      <c r="B4" s="20"/>
      <c r="C4" s="20"/>
      <c r="D4" s="20"/>
      <c r="E4" s="9"/>
      <c r="F4" s="9"/>
      <c r="G4" s="9"/>
      <c r="H4" s="9"/>
      <c r="I4" s="7"/>
    </row>
    <row r="5" spans="1:9" ht="34" x14ac:dyDescent="0.2">
      <c r="A5" s="9"/>
      <c r="B5" s="24" t="s">
        <v>8</v>
      </c>
      <c r="C5" s="26" t="s">
        <v>9</v>
      </c>
      <c r="D5" s="26" t="s">
        <v>10</v>
      </c>
      <c r="E5" s="9"/>
      <c r="F5" s="9"/>
      <c r="G5" s="9"/>
      <c r="H5" s="9"/>
      <c r="I5" s="7"/>
    </row>
    <row r="6" spans="1:9" ht="15.5" customHeight="1" x14ac:dyDescent="0.2">
      <c r="A6" s="9"/>
      <c r="B6" s="15"/>
      <c r="C6" s="17">
        <v>40</v>
      </c>
      <c r="D6" s="46">
        <v>1</v>
      </c>
      <c r="E6" s="9"/>
      <c r="F6" s="9"/>
      <c r="G6" s="9"/>
      <c r="H6" s="9"/>
      <c r="I6" s="7"/>
    </row>
    <row r="7" spans="1:9" ht="15.5" customHeight="1" x14ac:dyDescent="0.2">
      <c r="A7" s="9"/>
      <c r="B7" s="15"/>
      <c r="C7" s="15"/>
      <c r="D7" s="15"/>
      <c r="E7" s="9"/>
      <c r="F7" s="9"/>
      <c r="G7" s="9"/>
      <c r="H7" s="9"/>
      <c r="I7" s="7"/>
    </row>
    <row r="8" spans="1:9" ht="15.5" customHeight="1" x14ac:dyDescent="0.2">
      <c r="A8" s="9"/>
      <c r="B8" s="24" t="s">
        <v>11</v>
      </c>
      <c r="C8" s="26" t="s">
        <v>12</v>
      </c>
      <c r="D8" s="25"/>
      <c r="E8" s="9"/>
      <c r="F8" s="9"/>
      <c r="G8" s="9"/>
      <c r="H8" s="9"/>
      <c r="I8" s="7"/>
    </row>
    <row r="9" spans="1:9" ht="15.5" customHeight="1" x14ac:dyDescent="0.2">
      <c r="A9" s="9"/>
      <c r="B9" s="15"/>
      <c r="C9" s="17">
        <v>25</v>
      </c>
      <c r="D9" s="15"/>
      <c r="E9" s="9"/>
      <c r="F9" s="9"/>
      <c r="G9" s="9"/>
      <c r="H9" s="9"/>
      <c r="I9" s="7"/>
    </row>
    <row r="10" spans="1:9" ht="15.5" customHeight="1" x14ac:dyDescent="0.2">
      <c r="A10" s="9"/>
      <c r="B10" s="15"/>
      <c r="C10" s="17"/>
      <c r="D10" s="15"/>
      <c r="E10" s="9"/>
      <c r="F10" s="9"/>
      <c r="G10" s="9"/>
      <c r="H10" s="9"/>
      <c r="I10" s="7"/>
    </row>
    <row r="11" spans="1:9" ht="15.5" customHeight="1" x14ac:dyDescent="0.2">
      <c r="A11" s="9"/>
      <c r="B11" s="24" t="s">
        <v>14</v>
      </c>
      <c r="C11" s="26" t="s">
        <v>13</v>
      </c>
      <c r="D11" s="26" t="s">
        <v>15</v>
      </c>
      <c r="E11" s="9"/>
      <c r="F11" s="9"/>
      <c r="G11" s="9"/>
      <c r="H11" s="9"/>
      <c r="I11" s="7"/>
    </row>
    <row r="12" spans="1:9" ht="15.5" customHeight="1" x14ac:dyDescent="0.2">
      <c r="A12" s="9"/>
      <c r="B12" s="15">
        <f>C15*D12</f>
        <v>10000</v>
      </c>
      <c r="C12" s="17">
        <v>15</v>
      </c>
      <c r="D12" s="46">
        <v>1</v>
      </c>
      <c r="E12" s="9"/>
      <c r="F12" s="9"/>
      <c r="G12" s="9"/>
      <c r="H12" s="9"/>
      <c r="I12" s="7"/>
    </row>
    <row r="13" spans="1:9" ht="15.5" customHeight="1" x14ac:dyDescent="0.2">
      <c r="A13" s="9"/>
      <c r="B13" s="16"/>
      <c r="C13" s="16"/>
      <c r="D13" s="16"/>
      <c r="E13" s="9"/>
      <c r="F13" s="9"/>
      <c r="G13" s="9"/>
      <c r="H13" s="9"/>
      <c r="I13" s="7"/>
    </row>
    <row r="14" spans="1:9" ht="17" thickBot="1" x14ac:dyDescent="0.25">
      <c r="A14" s="6"/>
      <c r="B14" s="129" t="s">
        <v>16</v>
      </c>
      <c r="C14" s="129"/>
      <c r="D14" s="36"/>
      <c r="E14" s="6"/>
      <c r="F14" s="6"/>
      <c r="G14" s="6"/>
      <c r="H14" s="6"/>
      <c r="I14" s="6"/>
    </row>
    <row r="15" spans="1:9" x14ac:dyDescent="0.2">
      <c r="A15" s="6"/>
      <c r="B15" s="118" t="s">
        <v>17</v>
      </c>
      <c r="C15" s="35">
        <v>10000</v>
      </c>
      <c r="D15" s="13"/>
      <c r="E15" s="6"/>
      <c r="F15" s="6"/>
      <c r="G15" s="6"/>
      <c r="H15" s="6"/>
      <c r="I15" s="6"/>
    </row>
    <row r="16" spans="1:9" x14ac:dyDescent="0.2">
      <c r="A16" s="6"/>
      <c r="B16" s="119" t="s">
        <v>8</v>
      </c>
      <c r="C16" s="17">
        <f>C6</f>
        <v>40</v>
      </c>
      <c r="D16" s="19"/>
      <c r="E16" s="6"/>
      <c r="F16" s="6"/>
      <c r="G16" s="6"/>
      <c r="H16" s="6"/>
      <c r="I16" s="6"/>
    </row>
    <row r="17" spans="1:12" x14ac:dyDescent="0.2">
      <c r="A17" s="6"/>
      <c r="B17" s="119" t="s">
        <v>18</v>
      </c>
      <c r="C17" s="17">
        <f>C9</f>
        <v>25</v>
      </c>
      <c r="D17" s="19"/>
      <c r="E17" s="6"/>
      <c r="F17" s="6"/>
      <c r="G17" s="6"/>
      <c r="H17" s="6"/>
      <c r="I17" s="6"/>
    </row>
    <row r="18" spans="1:12" x14ac:dyDescent="0.2">
      <c r="A18" s="6"/>
      <c r="B18" s="119" t="s">
        <v>19</v>
      </c>
      <c r="C18" s="17">
        <f>C12</f>
        <v>15</v>
      </c>
      <c r="D18" s="19"/>
      <c r="E18" s="6"/>
      <c r="F18" s="6"/>
      <c r="G18" s="6"/>
      <c r="H18" s="6"/>
      <c r="I18" s="6"/>
    </row>
    <row r="19" spans="1:12" x14ac:dyDescent="0.2">
      <c r="A19" s="6"/>
      <c r="B19" s="33" t="s">
        <v>20</v>
      </c>
      <c r="C19" s="34">
        <f>SUM(C16:C18)</f>
        <v>80</v>
      </c>
      <c r="D19" s="13"/>
      <c r="E19" s="6"/>
      <c r="F19" s="6"/>
      <c r="G19" s="6"/>
      <c r="H19" s="6"/>
      <c r="I19" s="6"/>
    </row>
    <row r="20" spans="1:12" x14ac:dyDescent="0.2">
      <c r="A20" s="6"/>
      <c r="B20" s="120" t="s">
        <v>21</v>
      </c>
      <c r="C20" s="18">
        <v>120000</v>
      </c>
      <c r="D20" s="12"/>
      <c r="E20" s="6"/>
      <c r="F20" s="6"/>
      <c r="G20" s="6"/>
      <c r="H20" s="6"/>
      <c r="I20" s="6"/>
    </row>
    <row r="21" spans="1:12" x14ac:dyDescent="0.2">
      <c r="A21" s="6"/>
      <c r="B21" s="31" t="s">
        <v>22</v>
      </c>
      <c r="C21" s="32">
        <v>140</v>
      </c>
      <c r="D21" s="19"/>
      <c r="E21" s="6"/>
      <c r="F21" s="6"/>
      <c r="G21" s="6"/>
      <c r="H21" s="6"/>
      <c r="I21"/>
    </row>
    <row r="22" spans="1:12" x14ac:dyDescent="0.2">
      <c r="A22" s="6"/>
      <c r="B22" s="6"/>
      <c r="C22" s="8"/>
      <c r="D22" s="6"/>
      <c r="E22" s="6"/>
      <c r="F22" s="6"/>
      <c r="G22" s="6"/>
      <c r="H22" s="6"/>
      <c r="I22" s="6"/>
    </row>
    <row r="23" spans="1:12" x14ac:dyDescent="0.2">
      <c r="A23" s="6"/>
      <c r="B23" s="6"/>
      <c r="C23" s="8"/>
      <c r="D23" s="6"/>
      <c r="E23" s="6"/>
      <c r="F23" s="6"/>
      <c r="G23" s="6"/>
      <c r="H23" s="6"/>
      <c r="I23" s="6"/>
    </row>
    <row r="24" spans="1:12" ht="19" x14ac:dyDescent="0.2">
      <c r="A24" s="131" t="s">
        <v>23</v>
      </c>
      <c r="B24" s="131"/>
      <c r="C24" s="131"/>
      <c r="D24" s="131"/>
      <c r="E24" s="6"/>
      <c r="F24" s="6"/>
      <c r="G24" s="6"/>
      <c r="H24" s="6"/>
      <c r="I24" s="6"/>
    </row>
    <row r="25" spans="1:12" ht="19" x14ac:dyDescent="0.2">
      <c r="A25" s="21"/>
      <c r="B25" s="21"/>
      <c r="C25" s="21"/>
      <c r="D25" s="21"/>
      <c r="E25" s="6"/>
      <c r="F25" s="6"/>
      <c r="G25" s="6"/>
      <c r="H25" s="6"/>
      <c r="I25" s="6"/>
    </row>
    <row r="26" spans="1:12" ht="34" x14ac:dyDescent="0.2">
      <c r="A26" s="6"/>
      <c r="B26" s="28" t="s">
        <v>8</v>
      </c>
      <c r="C26" s="30" t="s">
        <v>9</v>
      </c>
      <c r="D26" s="30" t="s">
        <v>10</v>
      </c>
      <c r="E26" s="6"/>
      <c r="F26" s="6"/>
      <c r="G26" s="6"/>
      <c r="H26" s="6"/>
      <c r="J26"/>
      <c r="L26"/>
    </row>
    <row r="27" spans="1:12" x14ac:dyDescent="0.2">
      <c r="A27" s="6"/>
      <c r="B27" s="23"/>
      <c r="C27" s="27">
        <v>50</v>
      </c>
      <c r="D27" s="47">
        <v>1.2</v>
      </c>
      <c r="E27" s="6"/>
      <c r="F27" s="6"/>
      <c r="G27" s="6"/>
      <c r="H27" s="6"/>
      <c r="I27" s="6"/>
    </row>
    <row r="28" spans="1:12" x14ac:dyDescent="0.2">
      <c r="A28" s="6"/>
      <c r="B28" s="23"/>
      <c r="C28" s="23"/>
      <c r="D28" s="23"/>
      <c r="E28" s="6"/>
      <c r="F28" s="6"/>
      <c r="G28" s="6"/>
      <c r="H28" s="6"/>
      <c r="I28" s="6"/>
      <c r="J28" s="6"/>
    </row>
    <row r="29" spans="1:12" ht="17" x14ac:dyDescent="0.2">
      <c r="A29" s="6"/>
      <c r="B29" s="28" t="s">
        <v>24</v>
      </c>
      <c r="C29" s="30" t="s">
        <v>12</v>
      </c>
      <c r="D29" s="29"/>
      <c r="E29" s="6"/>
      <c r="F29" s="6"/>
      <c r="G29" s="6"/>
      <c r="H29" s="6"/>
      <c r="I29" s="6"/>
    </row>
    <row r="30" spans="1:12" x14ac:dyDescent="0.2">
      <c r="A30" s="6"/>
      <c r="B30" s="23"/>
      <c r="C30" s="27">
        <v>25</v>
      </c>
      <c r="D30" s="23"/>
      <c r="E30" s="6"/>
      <c r="F30" s="6"/>
      <c r="G30" s="6"/>
      <c r="H30" s="6"/>
      <c r="I30" s="6"/>
    </row>
    <row r="31" spans="1:12" x14ac:dyDescent="0.2">
      <c r="A31" s="6"/>
      <c r="B31" s="23"/>
      <c r="C31" s="27"/>
      <c r="D31" s="23"/>
      <c r="E31" s="6"/>
      <c r="F31" s="6"/>
      <c r="G31" s="6"/>
      <c r="H31" s="6"/>
      <c r="I31" s="6"/>
    </row>
    <row r="32" spans="1:12" ht="17" x14ac:dyDescent="0.2">
      <c r="A32" s="6"/>
      <c r="B32" s="28" t="s">
        <v>14</v>
      </c>
      <c r="C32" s="30" t="s">
        <v>13</v>
      </c>
      <c r="D32" s="30" t="s">
        <v>15</v>
      </c>
      <c r="E32" s="6"/>
      <c r="F32" s="6"/>
      <c r="G32" s="6"/>
      <c r="H32" s="6"/>
      <c r="I32" s="6"/>
    </row>
    <row r="33" spans="1:9" x14ac:dyDescent="0.2">
      <c r="A33" s="6"/>
      <c r="B33" s="23">
        <f>C36*D33</f>
        <v>10800</v>
      </c>
      <c r="C33" s="27">
        <f>C39/B33</f>
        <v>22</v>
      </c>
      <c r="D33" s="47">
        <v>0.9</v>
      </c>
      <c r="E33" s="6"/>
      <c r="F33" s="6"/>
      <c r="G33" s="6"/>
      <c r="H33" s="6"/>
      <c r="I33" s="6"/>
    </row>
    <row r="34" spans="1:9" x14ac:dyDescent="0.2">
      <c r="A34" s="6"/>
      <c r="B34" s="14"/>
      <c r="C34" s="14"/>
      <c r="D34" s="14"/>
      <c r="E34" s="6"/>
      <c r="F34" s="6"/>
      <c r="G34" s="6"/>
      <c r="H34" s="6"/>
      <c r="I34" s="6"/>
    </row>
    <row r="35" spans="1:9" ht="17" thickBot="1" x14ac:dyDescent="0.25">
      <c r="A35" s="6"/>
      <c r="B35" s="130" t="s">
        <v>23</v>
      </c>
      <c r="C35" s="130"/>
      <c r="D35" s="37"/>
      <c r="E35" s="6"/>
      <c r="F35" s="6"/>
      <c r="G35" s="6"/>
      <c r="H35" s="6"/>
      <c r="I35" s="6"/>
    </row>
    <row r="36" spans="1:9" x14ac:dyDescent="0.2">
      <c r="A36" s="6"/>
      <c r="B36" s="121" t="s">
        <v>17</v>
      </c>
      <c r="C36" s="39">
        <v>12000</v>
      </c>
      <c r="D36" s="38"/>
      <c r="E36" s="6"/>
      <c r="F36" s="6"/>
      <c r="G36" s="6"/>
      <c r="H36" s="6"/>
      <c r="I36" s="6"/>
    </row>
    <row r="37" spans="1:9" x14ac:dyDescent="0.2">
      <c r="A37" s="6"/>
      <c r="B37" s="122" t="s">
        <v>25</v>
      </c>
      <c r="C37" s="27">
        <f>C27*D27*C36</f>
        <v>720000</v>
      </c>
      <c r="D37" s="22"/>
      <c r="E37" s="6"/>
      <c r="F37" s="6"/>
      <c r="G37" s="6"/>
      <c r="H37" s="6"/>
      <c r="I37" s="6"/>
    </row>
    <row r="38" spans="1:9" x14ac:dyDescent="0.2">
      <c r="A38" s="6"/>
      <c r="B38" s="122" t="s">
        <v>26</v>
      </c>
      <c r="C38" s="27">
        <f>C30*C36</f>
        <v>300000</v>
      </c>
      <c r="D38" s="22"/>
      <c r="E38" s="6"/>
      <c r="F38" s="6"/>
      <c r="G38" s="6"/>
      <c r="H38" s="6"/>
      <c r="I38" s="6"/>
    </row>
    <row r="39" spans="1:9" x14ac:dyDescent="0.2">
      <c r="A39" s="6"/>
      <c r="B39" s="122" t="s">
        <v>27</v>
      </c>
      <c r="C39" s="27">
        <v>237600</v>
      </c>
      <c r="D39" s="22"/>
      <c r="E39" s="6"/>
      <c r="F39" s="6"/>
      <c r="G39" s="6"/>
      <c r="H39" s="6"/>
      <c r="I39" s="6"/>
    </row>
    <row r="40" spans="1:9" x14ac:dyDescent="0.2">
      <c r="A40" s="6"/>
      <c r="B40" s="40" t="s">
        <v>20</v>
      </c>
      <c r="C40" s="41">
        <f>SUM(C37:C39)</f>
        <v>1257600</v>
      </c>
      <c r="D40" s="38"/>
      <c r="E40" s="6"/>
      <c r="F40" s="6"/>
      <c r="G40" s="6"/>
      <c r="H40" s="6"/>
      <c r="I40" s="6"/>
    </row>
    <row r="41" spans="1:9" x14ac:dyDescent="0.2">
      <c r="A41" s="6"/>
      <c r="B41" s="123" t="s">
        <v>21</v>
      </c>
      <c r="C41" s="43">
        <v>100000</v>
      </c>
      <c r="D41" s="42"/>
      <c r="E41" s="6"/>
      <c r="F41" s="6"/>
      <c r="G41" s="6"/>
      <c r="H41" s="6"/>
      <c r="I41" s="6"/>
    </row>
    <row r="42" spans="1:9" x14ac:dyDescent="0.2">
      <c r="A42" s="5"/>
      <c r="B42" s="44" t="s">
        <v>22</v>
      </c>
      <c r="C42" s="45">
        <v>150</v>
      </c>
      <c r="D42" s="22"/>
    </row>
  </sheetData>
  <mergeCells count="5">
    <mergeCell ref="A2:H2"/>
    <mergeCell ref="B14:C14"/>
    <mergeCell ref="B35:C35"/>
    <mergeCell ref="A24:D24"/>
    <mergeCell ref="A3:D3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C1F5-3F39-4E36-A1D2-76CA433042A9}">
  <sheetPr>
    <tabColor rgb="FFFFF7F7"/>
  </sheetPr>
  <dimension ref="A1:K45"/>
  <sheetViews>
    <sheetView showGridLines="0" tabSelected="1" topLeftCell="F4" zoomScaleNormal="70" workbookViewId="0">
      <selection activeCell="K36" sqref="K36"/>
    </sheetView>
  </sheetViews>
  <sheetFormatPr baseColWidth="10" defaultColWidth="8.83203125" defaultRowHeight="16" x14ac:dyDescent="0.2"/>
  <cols>
    <col min="1" max="1" width="38.1640625" style="1" customWidth="1"/>
    <col min="2" max="2" width="15.5" style="1" customWidth="1"/>
    <col min="3" max="3" width="16.6640625" style="1" customWidth="1"/>
    <col min="4" max="4" width="3.6640625" style="1" customWidth="1"/>
    <col min="5" max="5" width="23" style="1" customWidth="1"/>
    <col min="6" max="6" width="16.5" style="1" customWidth="1"/>
    <col min="7" max="7" width="5.5" style="1" customWidth="1"/>
    <col min="8" max="8" width="27.5" style="1" customWidth="1"/>
    <col min="9" max="9" width="28.33203125" style="1" customWidth="1"/>
    <col min="10" max="10" width="5" style="1" customWidth="1"/>
    <col min="11" max="11" width="16.5" style="1" customWidth="1"/>
    <col min="12" max="14" width="8.83203125" style="1"/>
    <col min="15" max="15" width="14.6640625" style="1" bestFit="1" customWidth="1"/>
    <col min="16" max="16384" width="8.83203125" style="1"/>
  </cols>
  <sheetData>
    <row r="1" spans="1:11" ht="92.5" customHeight="1" x14ac:dyDescent="0.2"/>
    <row r="2" spans="1:11" ht="20" customHeight="1" x14ac:dyDescent="0.2">
      <c r="A2" s="3" t="s">
        <v>28</v>
      </c>
    </row>
    <row r="3" spans="1:11" customFormat="1" ht="26" customHeight="1" thickBot="1" x14ac:dyDescent="0.25"/>
    <row r="4" spans="1:11" s="2" customFormat="1" ht="37.5" customHeight="1" x14ac:dyDescent="0.2">
      <c r="A4" s="79" t="s">
        <v>2</v>
      </c>
      <c r="B4" s="58" t="s">
        <v>34</v>
      </c>
      <c r="C4" s="141" t="s">
        <v>35</v>
      </c>
      <c r="D4" s="141"/>
      <c r="E4" s="141"/>
      <c r="F4" s="141"/>
      <c r="G4" s="141"/>
      <c r="H4" s="141"/>
      <c r="I4" s="141"/>
      <c r="J4" s="141"/>
      <c r="K4" s="69" t="s">
        <v>37</v>
      </c>
    </row>
    <row r="5" spans="1:11" x14ac:dyDescent="0.2">
      <c r="A5" s="124" t="s">
        <v>29</v>
      </c>
      <c r="B5" s="59">
        <f>'Budgetierte und Ist-Kosten'!C36</f>
        <v>12000</v>
      </c>
      <c r="C5" s="133">
        <f t="shared" ref="C5:C13" si="0">B5-K5</f>
        <v>2000</v>
      </c>
      <c r="D5" s="133"/>
      <c r="E5" s="133"/>
      <c r="F5" s="133"/>
      <c r="G5" s="133"/>
      <c r="H5" s="133"/>
      <c r="I5" s="133"/>
      <c r="J5" s="127" t="s">
        <v>42</v>
      </c>
      <c r="K5" s="70">
        <f>'Budgetierte und Ist-Kosten'!C15</f>
        <v>10000</v>
      </c>
    </row>
    <row r="6" spans="1:11" x14ac:dyDescent="0.2">
      <c r="A6" s="11" t="s">
        <v>30</v>
      </c>
      <c r="B6" s="60">
        <f>'Budgetierte und Ist-Kosten'!C36*'Budgetierte und Ist-Kosten'!C42</f>
        <v>1800000</v>
      </c>
      <c r="C6" s="135">
        <f t="shared" si="0"/>
        <v>400000</v>
      </c>
      <c r="D6" s="135"/>
      <c r="E6" s="135"/>
      <c r="F6" s="135"/>
      <c r="G6" s="135"/>
      <c r="H6" s="135"/>
      <c r="I6" s="135"/>
      <c r="J6" s="127" t="s">
        <v>42</v>
      </c>
      <c r="K6" s="71">
        <f>'Budgetierte und Ist-Kosten'!C21*'Budgetierte und Ist-Kosten'!C15</f>
        <v>1400000</v>
      </c>
    </row>
    <row r="7" spans="1:11" x14ac:dyDescent="0.2">
      <c r="A7" s="125" t="s">
        <v>8</v>
      </c>
      <c r="B7" s="61">
        <f>'Budgetierte und Ist-Kosten'!C37</f>
        <v>720000</v>
      </c>
      <c r="C7" s="137">
        <f t="shared" si="0"/>
        <v>320000</v>
      </c>
      <c r="D7" s="137"/>
      <c r="E7" s="137"/>
      <c r="F7" s="137"/>
      <c r="G7" s="137"/>
      <c r="H7" s="137"/>
      <c r="I7" s="137"/>
      <c r="J7" s="65" t="s">
        <v>1</v>
      </c>
      <c r="K7" s="72">
        <f>'Budgetierte und Ist-Kosten'!C16*'Budgetierte und Ist-Kosten'!C15</f>
        <v>400000</v>
      </c>
    </row>
    <row r="8" spans="1:11" x14ac:dyDescent="0.2">
      <c r="A8" s="125" t="s">
        <v>18</v>
      </c>
      <c r="B8" s="62">
        <f>'Budgetierte und Ist-Kosten'!C38</f>
        <v>300000</v>
      </c>
      <c r="C8" s="137">
        <f t="shared" si="0"/>
        <v>50000</v>
      </c>
      <c r="D8" s="137"/>
      <c r="E8" s="137"/>
      <c r="F8" s="137"/>
      <c r="G8" s="137"/>
      <c r="H8" s="137"/>
      <c r="I8" s="137"/>
      <c r="J8" s="65" t="s">
        <v>1</v>
      </c>
      <c r="K8" s="73">
        <f>'Budgetierte und Ist-Kosten'!C17*'Budgetierte und Ist-Kosten'!C15</f>
        <v>250000</v>
      </c>
    </row>
    <row r="9" spans="1:11" x14ac:dyDescent="0.2">
      <c r="A9" s="125" t="s">
        <v>19</v>
      </c>
      <c r="B9" s="62">
        <f>'Budgetierte und Ist-Kosten'!C39</f>
        <v>237600</v>
      </c>
      <c r="C9" s="137">
        <f t="shared" si="0"/>
        <v>87600</v>
      </c>
      <c r="D9" s="137"/>
      <c r="E9" s="137"/>
      <c r="F9" s="137"/>
      <c r="G9" s="137"/>
      <c r="H9" s="137"/>
      <c r="I9" s="137"/>
      <c r="J9" s="65" t="s">
        <v>1</v>
      </c>
      <c r="K9" s="73">
        <f>'Budgetierte und Ist-Kosten'!B12*'Budgetierte und Ist-Kosten'!C12</f>
        <v>150000</v>
      </c>
    </row>
    <row r="10" spans="1:11" ht="17" thickBot="1" x14ac:dyDescent="0.25">
      <c r="A10" s="10" t="s">
        <v>20</v>
      </c>
      <c r="B10" s="63">
        <f>SUM(B7:B9)</f>
        <v>1257600</v>
      </c>
      <c r="C10" s="139">
        <f t="shared" si="0"/>
        <v>457600</v>
      </c>
      <c r="D10" s="139"/>
      <c r="E10" s="139"/>
      <c r="F10" s="139"/>
      <c r="G10" s="139"/>
      <c r="H10" s="139"/>
      <c r="I10" s="139"/>
      <c r="J10" s="66" t="s">
        <v>1</v>
      </c>
      <c r="K10" s="74">
        <f>SUM(K7:K9)</f>
        <v>800000</v>
      </c>
    </row>
    <row r="11" spans="1:11" x14ac:dyDescent="0.2">
      <c r="A11" s="91" t="s">
        <v>31</v>
      </c>
      <c r="B11" s="104">
        <f>'LEVEL 1-3 Analyse'!B6-'LEVEL 1-3 Analyse'!B10</f>
        <v>542400</v>
      </c>
      <c r="C11" s="138">
        <f t="shared" si="0"/>
        <v>-57600</v>
      </c>
      <c r="D11" s="138"/>
      <c r="E11" s="138"/>
      <c r="F11" s="138"/>
      <c r="G11" s="138"/>
      <c r="H11" s="138"/>
      <c r="I11" s="138"/>
      <c r="J11" s="67" t="s">
        <v>1</v>
      </c>
      <c r="K11" s="76">
        <f>K6-K10</f>
        <v>600000</v>
      </c>
    </row>
    <row r="12" spans="1:11" ht="17" thickBot="1" x14ac:dyDescent="0.25">
      <c r="A12" s="126" t="s">
        <v>32</v>
      </c>
      <c r="B12" s="105">
        <f>'Budgetierte und Ist-Kosten'!C41</f>
        <v>100000</v>
      </c>
      <c r="C12" s="143">
        <f t="shared" si="0"/>
        <v>-20000</v>
      </c>
      <c r="D12" s="143"/>
      <c r="E12" s="143"/>
      <c r="F12" s="143"/>
      <c r="G12" s="143"/>
      <c r="H12" s="143"/>
      <c r="I12" s="143"/>
      <c r="J12" s="127" t="s">
        <v>42</v>
      </c>
      <c r="K12" s="106">
        <f>'Budgetierte und Ist-Kosten'!C20</f>
        <v>120000</v>
      </c>
    </row>
    <row r="13" spans="1:11" ht="17" thickBot="1" x14ac:dyDescent="0.25">
      <c r="A13" s="57" t="s">
        <v>33</v>
      </c>
      <c r="B13" s="63">
        <f>B11-B12</f>
        <v>442400</v>
      </c>
      <c r="C13" s="144">
        <f t="shared" si="0"/>
        <v>-37600</v>
      </c>
      <c r="D13" s="144"/>
      <c r="E13" s="144"/>
      <c r="F13" s="144"/>
      <c r="G13" s="144"/>
      <c r="H13" s="144"/>
      <c r="I13" s="144"/>
      <c r="J13" s="68" t="s">
        <v>1</v>
      </c>
      <c r="K13" s="75">
        <f>K11-K12</f>
        <v>480000</v>
      </c>
    </row>
    <row r="19" spans="1:11" ht="17" thickBot="1" x14ac:dyDescent="0.25"/>
    <row r="20" spans="1:11" ht="35" customHeight="1" x14ac:dyDescent="0.2">
      <c r="A20" s="79" t="s">
        <v>3</v>
      </c>
      <c r="B20" s="58" t="s">
        <v>34</v>
      </c>
      <c r="C20" s="145" t="s">
        <v>36</v>
      </c>
      <c r="D20" s="146"/>
      <c r="E20" s="146"/>
      <c r="F20" s="146"/>
      <c r="G20" s="94"/>
      <c r="H20" s="54" t="s">
        <v>38</v>
      </c>
      <c r="I20" s="141" t="s">
        <v>39</v>
      </c>
      <c r="J20" s="141"/>
      <c r="K20" s="69" t="s">
        <v>37</v>
      </c>
    </row>
    <row r="21" spans="1:11" x14ac:dyDescent="0.2">
      <c r="A21" s="124" t="s">
        <v>29</v>
      </c>
      <c r="B21" s="59">
        <f>'Budgetierte und Ist-Kosten'!C36</f>
        <v>12000</v>
      </c>
      <c r="C21" s="133">
        <f t="shared" ref="C21:C29" si="1">B21-H21</f>
        <v>0</v>
      </c>
      <c r="D21" s="133"/>
      <c r="E21" s="133"/>
      <c r="F21" s="134"/>
      <c r="G21" s="64"/>
      <c r="H21" s="77">
        <f>'Budgetierte und Ist-Kosten'!C36</f>
        <v>12000</v>
      </c>
      <c r="I21" s="86">
        <f t="shared" ref="I21:I27" si="2">H21-K21</f>
        <v>2000</v>
      </c>
      <c r="J21" s="127" t="s">
        <v>42</v>
      </c>
      <c r="K21" s="70">
        <f>'Budgetierte und Ist-Kosten'!C15</f>
        <v>10000</v>
      </c>
    </row>
    <row r="22" spans="1:11" x14ac:dyDescent="0.2">
      <c r="A22" s="11" t="s">
        <v>30</v>
      </c>
      <c r="B22" s="60">
        <f>'Budgetierte und Ist-Kosten'!C36*'Budgetierte und Ist-Kosten'!C42</f>
        <v>1800000</v>
      </c>
      <c r="C22" s="135">
        <f t="shared" si="1"/>
        <v>120000</v>
      </c>
      <c r="D22" s="135"/>
      <c r="E22" s="135"/>
      <c r="F22" s="136"/>
      <c r="G22" s="127" t="s">
        <v>42</v>
      </c>
      <c r="H22" s="78">
        <f>'Budgetierte und Ist-Kosten'!C36*'Budgetierte und Ist-Kosten'!C21</f>
        <v>1680000</v>
      </c>
      <c r="I22" s="87">
        <f t="shared" si="2"/>
        <v>280000</v>
      </c>
      <c r="J22" s="64" t="s">
        <v>1</v>
      </c>
      <c r="K22" s="71">
        <f>'Budgetierte und Ist-Kosten'!C15*'Budgetierte und Ist-Kosten'!C21</f>
        <v>1400000</v>
      </c>
    </row>
    <row r="23" spans="1:11" x14ac:dyDescent="0.2">
      <c r="A23" s="147" t="s">
        <v>8</v>
      </c>
      <c r="B23" s="62">
        <f>'Budgetierte und Ist-Kosten'!C36*'Budgetierte und Ist-Kosten'!C27*'Budgetierte und Ist-Kosten'!D27</f>
        <v>720000</v>
      </c>
      <c r="C23" s="137">
        <f t="shared" si="1"/>
        <v>240000</v>
      </c>
      <c r="D23" s="137"/>
      <c r="E23" s="137"/>
      <c r="F23" s="137"/>
      <c r="G23" s="65" t="s">
        <v>1</v>
      </c>
      <c r="H23" s="55">
        <f>'Budgetierte und Ist-Kosten'!C36*'Budgetierte und Ist-Kosten'!C16</f>
        <v>480000</v>
      </c>
      <c r="I23" s="52">
        <f t="shared" si="2"/>
        <v>80000</v>
      </c>
      <c r="J23" s="65" t="s">
        <v>1</v>
      </c>
      <c r="K23" s="73">
        <f>'Budgetierte und Ist-Kosten'!C15*'Budgetierte und Ist-Kosten'!C16</f>
        <v>400000</v>
      </c>
    </row>
    <row r="24" spans="1:11" x14ac:dyDescent="0.2">
      <c r="A24" s="125" t="s">
        <v>18</v>
      </c>
      <c r="B24" s="62">
        <f>'Budgetierte und Ist-Kosten'!C36*'Budgetierte und Ist-Kosten'!C30</f>
        <v>300000</v>
      </c>
      <c r="C24" s="137">
        <f t="shared" si="1"/>
        <v>0</v>
      </c>
      <c r="D24" s="137"/>
      <c r="E24" s="137"/>
      <c r="F24" s="137"/>
      <c r="G24" s="65"/>
      <c r="H24" s="55">
        <f>'Budgetierte und Ist-Kosten'!C36*'Budgetierte und Ist-Kosten'!C17</f>
        <v>300000</v>
      </c>
      <c r="I24" s="52">
        <f t="shared" si="2"/>
        <v>50000</v>
      </c>
      <c r="J24" s="65" t="s">
        <v>1</v>
      </c>
      <c r="K24" s="73">
        <f>'Budgetierte und Ist-Kosten'!C15*'Budgetierte und Ist-Kosten'!C17</f>
        <v>250000</v>
      </c>
    </row>
    <row r="25" spans="1:11" x14ac:dyDescent="0.2">
      <c r="A25" s="125" t="s">
        <v>19</v>
      </c>
      <c r="B25" s="62">
        <f>'Budgetierte und Ist-Kosten'!C39</f>
        <v>237600</v>
      </c>
      <c r="C25" s="137">
        <f t="shared" si="1"/>
        <v>57600</v>
      </c>
      <c r="D25" s="137"/>
      <c r="E25" s="137"/>
      <c r="F25" s="137"/>
      <c r="G25" s="65" t="s">
        <v>1</v>
      </c>
      <c r="H25" s="55">
        <f>'Budgetierte und Ist-Kosten'!C36*'Budgetierte und Ist-Kosten'!D12*'Budgetierte und Ist-Kosten'!C12</f>
        <v>180000</v>
      </c>
      <c r="I25" s="52">
        <f t="shared" si="2"/>
        <v>30000</v>
      </c>
      <c r="J25" s="65" t="s">
        <v>1</v>
      </c>
      <c r="K25" s="73">
        <f>'Budgetierte und Ist-Kosten'!B12*'Budgetierte und Ist-Kosten'!C12</f>
        <v>150000</v>
      </c>
    </row>
    <row r="26" spans="1:11" ht="17" thickBot="1" x14ac:dyDescent="0.25">
      <c r="A26" s="10" t="s">
        <v>20</v>
      </c>
      <c r="B26" s="63">
        <f>SUM(B23:B25)</f>
        <v>1257600</v>
      </c>
      <c r="C26" s="139">
        <f t="shared" si="1"/>
        <v>297600</v>
      </c>
      <c r="D26" s="139"/>
      <c r="E26" s="139"/>
      <c r="F26" s="140"/>
      <c r="G26" s="66" t="s">
        <v>1</v>
      </c>
      <c r="H26" s="56">
        <f>SUM(H23:H25)</f>
        <v>960000</v>
      </c>
      <c r="I26" s="109">
        <f t="shared" si="2"/>
        <v>160000</v>
      </c>
      <c r="J26" s="66" t="s">
        <v>1</v>
      </c>
      <c r="K26" s="74">
        <f>SUM(K23:K25)</f>
        <v>800000</v>
      </c>
    </row>
    <row r="27" spans="1:11" x14ac:dyDescent="0.2">
      <c r="A27" s="91" t="s">
        <v>31</v>
      </c>
      <c r="B27" s="117">
        <f>B22-B26</f>
        <v>542400</v>
      </c>
      <c r="C27" s="138">
        <f t="shared" si="1"/>
        <v>-177600</v>
      </c>
      <c r="D27" s="138"/>
      <c r="E27" s="138"/>
      <c r="F27" s="138"/>
      <c r="G27" s="67" t="s">
        <v>1</v>
      </c>
      <c r="H27" s="114">
        <f>H22-H26</f>
        <v>720000</v>
      </c>
      <c r="I27" s="110">
        <f t="shared" si="2"/>
        <v>120000</v>
      </c>
      <c r="J27" s="67"/>
      <c r="K27" s="76">
        <f>K22-K26</f>
        <v>600000</v>
      </c>
    </row>
    <row r="28" spans="1:11" ht="17" thickBot="1" x14ac:dyDescent="0.25">
      <c r="A28" s="126" t="s">
        <v>32</v>
      </c>
      <c r="B28" s="107">
        <f>'Budgetierte und Ist-Kosten'!C41</f>
        <v>100000</v>
      </c>
      <c r="C28" s="139">
        <f t="shared" si="1"/>
        <v>-20000</v>
      </c>
      <c r="D28" s="139"/>
      <c r="E28" s="139"/>
      <c r="F28" s="140"/>
      <c r="G28" s="127" t="s">
        <v>42</v>
      </c>
      <c r="H28" s="108">
        <f>'Budgetierte und Ist-Kosten'!C20</f>
        <v>120000</v>
      </c>
      <c r="I28" s="109">
        <v>0</v>
      </c>
      <c r="J28" s="66"/>
      <c r="K28" s="111">
        <f>'Budgetierte und Ist-Kosten'!C20</f>
        <v>120000</v>
      </c>
    </row>
    <row r="29" spans="1:11" ht="17" thickBot="1" x14ac:dyDescent="0.25">
      <c r="A29" s="57" t="s">
        <v>33</v>
      </c>
      <c r="B29" s="63">
        <f>B27-B28</f>
        <v>442400</v>
      </c>
      <c r="C29" s="142">
        <f t="shared" si="1"/>
        <v>-157600</v>
      </c>
      <c r="D29" s="142"/>
      <c r="E29" s="142"/>
      <c r="F29" s="142"/>
      <c r="G29" s="68" t="s">
        <v>1</v>
      </c>
      <c r="H29" s="56">
        <f>H27-H28</f>
        <v>600000</v>
      </c>
      <c r="I29" s="53">
        <f>H29-K29</f>
        <v>120000</v>
      </c>
      <c r="J29" s="127" t="s">
        <v>42</v>
      </c>
      <c r="K29" s="74">
        <f>K27-K28</f>
        <v>480000</v>
      </c>
    </row>
    <row r="30" spans="1:11" x14ac:dyDescent="0.2">
      <c r="H30" s="49"/>
    </row>
    <row r="31" spans="1:11" x14ac:dyDescent="0.2">
      <c r="H31" s="49"/>
    </row>
    <row r="32" spans="1:11" x14ac:dyDescent="0.2">
      <c r="H32" s="49"/>
    </row>
    <row r="33" spans="1:11" x14ac:dyDescent="0.2">
      <c r="H33" s="49"/>
    </row>
    <row r="35" spans="1:11" ht="17" thickBot="1" x14ac:dyDescent="0.25"/>
    <row r="36" spans="1:11" ht="38" customHeight="1" x14ac:dyDescent="0.2">
      <c r="A36" s="79" t="s">
        <v>4</v>
      </c>
      <c r="B36" s="58" t="s">
        <v>34</v>
      </c>
      <c r="C36" s="141" t="s">
        <v>40</v>
      </c>
      <c r="D36" s="141"/>
      <c r="E36" s="88" t="s">
        <v>43</v>
      </c>
      <c r="F36" s="141" t="s">
        <v>41</v>
      </c>
      <c r="G36" s="141"/>
      <c r="H36" s="54" t="s">
        <v>38</v>
      </c>
      <c r="I36" s="141" t="s">
        <v>39</v>
      </c>
      <c r="J36" s="141"/>
      <c r="K36" s="69" t="s">
        <v>37</v>
      </c>
    </row>
    <row r="37" spans="1:11" x14ac:dyDescent="0.2">
      <c r="A37" s="124" t="s">
        <v>29</v>
      </c>
      <c r="B37" s="59">
        <f>'Budgetierte und Ist-Kosten'!C36</f>
        <v>12000</v>
      </c>
      <c r="C37" s="48">
        <f t="shared" ref="C37:C45" si="3">B37-E37</f>
        <v>0</v>
      </c>
      <c r="D37" s="95"/>
      <c r="E37" s="89">
        <f>'Budgetierte und Ist-Kosten'!C36</f>
        <v>12000</v>
      </c>
      <c r="F37" s="48">
        <f t="shared" ref="F37:F43" si="4">E37-H37</f>
        <v>0</v>
      </c>
      <c r="G37" s="127" t="s">
        <v>42</v>
      </c>
      <c r="H37" s="77">
        <f>'Budgetierte und Ist-Kosten'!C36</f>
        <v>12000</v>
      </c>
      <c r="I37" s="48">
        <f t="shared" ref="I37:I43" si="5">H37-K37</f>
        <v>2000</v>
      </c>
      <c r="J37" s="127" t="s">
        <v>42</v>
      </c>
      <c r="K37" s="70">
        <f>'Budgetierte und Ist-Kosten'!C15</f>
        <v>10000</v>
      </c>
    </row>
    <row r="38" spans="1:11" x14ac:dyDescent="0.2">
      <c r="A38" s="11" t="s">
        <v>30</v>
      </c>
      <c r="B38" s="60">
        <f>'Budgetierte und Ist-Kosten'!C36*'Budgetierte und Ist-Kosten'!C42</f>
        <v>1800000</v>
      </c>
      <c r="C38" s="50">
        <f t="shared" si="3"/>
        <v>120000</v>
      </c>
      <c r="D38" s="127" t="s">
        <v>42</v>
      </c>
      <c r="E38" s="90">
        <f>'Budgetierte und Ist-Kosten'!C36*'Budgetierte und Ist-Kosten'!C21</f>
        <v>1680000</v>
      </c>
      <c r="F38" s="50">
        <f t="shared" si="4"/>
        <v>0</v>
      </c>
      <c r="G38" s="127" t="s">
        <v>42</v>
      </c>
      <c r="H38" s="78">
        <f>'Budgetierte und Ist-Kosten'!C36*'Budgetierte und Ist-Kosten'!C21</f>
        <v>1680000</v>
      </c>
      <c r="I38" s="50">
        <f t="shared" si="5"/>
        <v>280000</v>
      </c>
      <c r="J38" s="95" t="s">
        <v>1</v>
      </c>
      <c r="K38" s="71">
        <f>'Budgetierte und Ist-Kosten'!C15*'Budgetierte und Ist-Kosten'!C21</f>
        <v>1400000</v>
      </c>
    </row>
    <row r="39" spans="1:11" x14ac:dyDescent="0.2">
      <c r="A39" s="125" t="s">
        <v>8</v>
      </c>
      <c r="B39" s="62">
        <f>'Budgetierte und Ist-Kosten'!C37</f>
        <v>720000</v>
      </c>
      <c r="C39" s="102">
        <f t="shared" si="3"/>
        <v>144000</v>
      </c>
      <c r="D39" s="96" t="s">
        <v>1</v>
      </c>
      <c r="E39" s="81">
        <f>'Budgetierte und Ist-Kosten'!C36*'Budgetierte und Ist-Kosten'!C16*'Budgetierte und Ist-Kosten'!D27</f>
        <v>576000</v>
      </c>
      <c r="F39" s="102">
        <f t="shared" si="4"/>
        <v>96000</v>
      </c>
      <c r="G39" s="99" t="s">
        <v>1</v>
      </c>
      <c r="H39" s="55">
        <f>'Budgetierte und Ist-Kosten'!C36*'Budgetierte und Ist-Kosten'!C16</f>
        <v>480000</v>
      </c>
      <c r="I39" s="102">
        <f t="shared" si="5"/>
        <v>80000</v>
      </c>
      <c r="J39" s="96" t="s">
        <v>1</v>
      </c>
      <c r="K39" s="73">
        <f>'Budgetierte und Ist-Kosten'!C15*'Budgetierte und Ist-Kosten'!C16</f>
        <v>400000</v>
      </c>
    </row>
    <row r="40" spans="1:11" x14ac:dyDescent="0.2">
      <c r="A40" s="125" t="s">
        <v>18</v>
      </c>
      <c r="B40" s="62">
        <f>'Budgetierte und Ist-Kosten'!C38</f>
        <v>300000</v>
      </c>
      <c r="C40" s="102">
        <f t="shared" si="3"/>
        <v>0</v>
      </c>
      <c r="D40" s="96"/>
      <c r="E40" s="81">
        <f>'Budgetierte und Ist-Kosten'!C36*'Budgetierte und Ist-Kosten'!C30</f>
        <v>300000</v>
      </c>
      <c r="F40" s="102">
        <f t="shared" si="4"/>
        <v>0</v>
      </c>
      <c r="G40" s="99" t="s">
        <v>1</v>
      </c>
      <c r="H40" s="55">
        <f>'Budgetierte und Ist-Kosten'!C36*'Budgetierte und Ist-Kosten'!C17</f>
        <v>300000</v>
      </c>
      <c r="I40" s="102">
        <f t="shared" si="5"/>
        <v>50000</v>
      </c>
      <c r="J40" s="96" t="s">
        <v>1</v>
      </c>
      <c r="K40" s="73">
        <f>'Budgetierte und Ist-Kosten'!C15*'Budgetierte und Ist-Kosten'!C17</f>
        <v>250000</v>
      </c>
    </row>
    <row r="41" spans="1:11" x14ac:dyDescent="0.2">
      <c r="A41" s="125" t="s">
        <v>19</v>
      </c>
      <c r="B41" s="62">
        <f>'Budgetierte und Ist-Kosten'!C39</f>
        <v>237600</v>
      </c>
      <c r="C41" s="102">
        <f t="shared" si="3"/>
        <v>75600</v>
      </c>
      <c r="D41" s="96" t="s">
        <v>1</v>
      </c>
      <c r="E41" s="81">
        <f>'Budgetierte und Ist-Kosten'!C36*'Budgetierte und Ist-Kosten'!C12*'Budgetierte und Ist-Kosten'!D33</f>
        <v>162000</v>
      </c>
      <c r="F41" s="102">
        <f t="shared" si="4"/>
        <v>-18000</v>
      </c>
      <c r="G41" s="127" t="s">
        <v>42</v>
      </c>
      <c r="H41" s="55">
        <f>'Budgetierte und Ist-Kosten'!C36*'Budgetierte und Ist-Kosten'!C12*'Budgetierte und Ist-Kosten'!D12</f>
        <v>180000</v>
      </c>
      <c r="I41" s="102">
        <f t="shared" si="5"/>
        <v>30000</v>
      </c>
      <c r="J41" s="96" t="s">
        <v>1</v>
      </c>
      <c r="K41" s="73">
        <f>'Budgetierte und Ist-Kosten'!B12*'Budgetierte und Ist-Kosten'!C12</f>
        <v>150000</v>
      </c>
    </row>
    <row r="42" spans="1:11" ht="17" thickBot="1" x14ac:dyDescent="0.25">
      <c r="A42" s="10" t="s">
        <v>20</v>
      </c>
      <c r="B42" s="63">
        <f>SUM(B39:B41)</f>
        <v>1257600</v>
      </c>
      <c r="C42" s="112">
        <f t="shared" si="3"/>
        <v>219600</v>
      </c>
      <c r="D42" s="97" t="s">
        <v>1</v>
      </c>
      <c r="E42" s="82">
        <f>SUM(E39:E41)</f>
        <v>1038000</v>
      </c>
      <c r="F42" s="112">
        <f t="shared" si="4"/>
        <v>78000</v>
      </c>
      <c r="G42" s="100" t="s">
        <v>1</v>
      </c>
      <c r="H42" s="56">
        <f>SUM(H39:H41)</f>
        <v>960000</v>
      </c>
      <c r="I42" s="112">
        <f t="shared" si="5"/>
        <v>160000</v>
      </c>
      <c r="J42" s="97" t="s">
        <v>1</v>
      </c>
      <c r="K42" s="74">
        <f>SUM(K39:K41)</f>
        <v>800000</v>
      </c>
    </row>
    <row r="43" spans="1:11" x14ac:dyDescent="0.2">
      <c r="A43" s="91" t="s">
        <v>31</v>
      </c>
      <c r="B43" s="92">
        <f>B38-B42</f>
        <v>542400</v>
      </c>
      <c r="C43" s="113">
        <f t="shared" si="3"/>
        <v>-99600</v>
      </c>
      <c r="D43" s="98" t="s">
        <v>1</v>
      </c>
      <c r="E43" s="115">
        <f>E38-E42</f>
        <v>642000</v>
      </c>
      <c r="F43" s="113">
        <f t="shared" si="4"/>
        <v>-78000</v>
      </c>
      <c r="G43" s="101" t="s">
        <v>1</v>
      </c>
      <c r="H43" s="114">
        <f>H38-H42</f>
        <v>720000</v>
      </c>
      <c r="I43" s="113">
        <f t="shared" si="5"/>
        <v>120000</v>
      </c>
      <c r="J43" s="98" t="s">
        <v>1</v>
      </c>
      <c r="K43" s="93">
        <f>K38-K42</f>
        <v>600000</v>
      </c>
    </row>
    <row r="44" spans="1:11" ht="17" thickBot="1" x14ac:dyDescent="0.25">
      <c r="A44" s="126" t="s">
        <v>32</v>
      </c>
      <c r="B44" s="107">
        <f>'Budgetierte und Ist-Kosten'!C41</f>
        <v>100000</v>
      </c>
      <c r="C44" s="112">
        <f t="shared" si="3"/>
        <v>-20000</v>
      </c>
      <c r="D44" s="127" t="s">
        <v>42</v>
      </c>
      <c r="E44" s="116">
        <f>'Budgetierte und Ist-Kosten'!C20</f>
        <v>120000</v>
      </c>
      <c r="F44" s="51" t="s">
        <v>5</v>
      </c>
      <c r="G44" s="100"/>
      <c r="H44" s="108">
        <f>'Budgetierte und Ist-Kosten'!C20</f>
        <v>120000</v>
      </c>
      <c r="I44" s="51">
        <v>0</v>
      </c>
      <c r="J44" s="97"/>
      <c r="K44" s="111">
        <f>'Budgetierte und Ist-Kosten'!C20</f>
        <v>120000</v>
      </c>
    </row>
    <row r="45" spans="1:11" ht="17" thickBot="1" x14ac:dyDescent="0.25">
      <c r="A45" s="57" t="s">
        <v>33</v>
      </c>
      <c r="B45" s="80">
        <f>B43-B44</f>
        <v>442400</v>
      </c>
      <c r="C45" s="103">
        <f t="shared" si="3"/>
        <v>-79600</v>
      </c>
      <c r="D45" s="98" t="s">
        <v>1</v>
      </c>
      <c r="E45" s="83">
        <f>E43-E44</f>
        <v>522000</v>
      </c>
      <c r="F45" s="103">
        <f>E45-H45</f>
        <v>-78000</v>
      </c>
      <c r="G45" s="101" t="s">
        <v>1</v>
      </c>
      <c r="H45" s="84">
        <f>H43-H44</f>
        <v>600000</v>
      </c>
      <c r="I45" s="103">
        <f>H45-K45</f>
        <v>120000</v>
      </c>
      <c r="J45" s="127" t="s">
        <v>42</v>
      </c>
      <c r="K45" s="85">
        <f>K43-K44</f>
        <v>480000</v>
      </c>
    </row>
  </sheetData>
  <mergeCells count="24">
    <mergeCell ref="C9:I9"/>
    <mergeCell ref="C4:J4"/>
    <mergeCell ref="C5:I5"/>
    <mergeCell ref="C6:I6"/>
    <mergeCell ref="C7:I7"/>
    <mergeCell ref="C8:I8"/>
    <mergeCell ref="C10:I10"/>
    <mergeCell ref="C11:I11"/>
    <mergeCell ref="C12:I12"/>
    <mergeCell ref="C13:I13"/>
    <mergeCell ref="I20:J20"/>
    <mergeCell ref="C20:F20"/>
    <mergeCell ref="C27:F27"/>
    <mergeCell ref="C26:F26"/>
    <mergeCell ref="C36:D36"/>
    <mergeCell ref="F36:G36"/>
    <mergeCell ref="I36:J36"/>
    <mergeCell ref="C28:F28"/>
    <mergeCell ref="C29:F29"/>
    <mergeCell ref="C21:F21"/>
    <mergeCell ref="C22:F22"/>
    <mergeCell ref="C23:F23"/>
    <mergeCell ref="C24:F24"/>
    <mergeCell ref="C25:F25"/>
  </mergeCells>
  <dataValidations count="1">
    <dataValidation type="list" allowBlank="1" showInputMessage="1" showErrorMessage="1" sqref="D45 J13 G29 G42:G45 J22:J28 J7:J11 G21 G23:G27 D37 D39:D43 G39:G40 J38:J44" xr:uid="{A938F312-048F-42EC-B952-35128C3D0224}">
      <formula1>Variance</formula1>
    </dataValidation>
  </dataValidations>
  <pageMargins left="0.70866141732283472" right="0.70866141732283472" top="0.74803149606299213" bottom="0.74803149606299213" header="0.31496062992125984" footer="0.31496062992125984"/>
  <pageSetup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sqref="A1:A2"/>
    </sheetView>
  </sheetViews>
  <sheetFormatPr baseColWidth="10" defaultColWidth="9.1640625" defaultRowHeight="15" x14ac:dyDescent="0.2"/>
  <sheetData>
    <row r="1" spans="1:1" x14ac:dyDescent="0.2">
      <c r="A1" s="4" t="s">
        <v>0</v>
      </c>
    </row>
    <row r="2" spans="1:1" x14ac:dyDescent="0.2">
      <c r="A2" s="4" t="s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RnRKUhFhUIiKVBVvtNp2il2K+z8ZWP+ip2qMl1ENYAYFsl8r5Oytv1z9nHp+btZR-~HEUF8/2wt0kUFaYIiavldw==</id>
</project>
</file>

<file path=customXml/itemProps1.xml><?xml version="1.0" encoding="utf-8"?>
<ds:datastoreItem xmlns:ds="http://schemas.openxmlformats.org/officeDocument/2006/customXml" ds:itemID="{EC4EA797-5B2B-4074-B74E-D30EE4AA19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Budgetierte und Ist-Kosten</vt:lpstr>
      <vt:lpstr>LEVEL 1-3 Analyse</vt:lpstr>
      <vt:lpstr>Sheet1</vt:lpstr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vlee</dc:creator>
  <cp:lastModifiedBy>Stopp, Sophie</cp:lastModifiedBy>
  <cp:lastPrinted>2019-08-31T19:31:02Z</cp:lastPrinted>
  <dcterms:created xsi:type="dcterms:W3CDTF">2017-07-04T19:19:43Z</dcterms:created>
  <dcterms:modified xsi:type="dcterms:W3CDTF">2021-02-10T09:13:22Z</dcterms:modified>
</cp:coreProperties>
</file>