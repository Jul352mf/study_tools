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klaus_moeller_unisg_ch/Documents/99 Freigaben/ACA FS21/01 Videos/Excel Files/"/>
    </mc:Choice>
  </mc:AlternateContent>
  <xr:revisionPtr revIDLastSave="71" documentId="13_ncr:1_{13CB75A5-555B-4928-9606-667BB350C44B}" xr6:coauthVersionLast="46" xr6:coauthVersionMax="46" xr10:uidLastSave="{F6CD9407-C031-634C-B873-30E9A4AA557B}"/>
  <bookViews>
    <workbookView xWindow="16800" yWindow="500" windowWidth="16800" windowHeight="18900" activeTab="1" xr2:uid="{00000000-000D-0000-FFFF-FFFF00000000}"/>
  </bookViews>
  <sheets>
    <sheet name="Budgetierte Kosten" sheetId="1" r:id="rId1"/>
    <sheet name="Zielkosten und Zielpreis" sheetId="7" r:id="rId2"/>
    <sheet name="Sheet1" sheetId="3" state="hidden" r:id="rId3"/>
  </sheets>
  <definedNames>
    <definedName name="Variance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1" i="1" l="1"/>
  <c r="B7" i="7" l="1"/>
  <c r="D7" i="7" s="1"/>
  <c r="E7" i="7" s="1"/>
  <c r="F7" i="7" s="1"/>
  <c r="C16" i="1" l="1"/>
  <c r="C18" i="1"/>
  <c r="B12" i="1"/>
  <c r="C17" i="1" l="1"/>
  <c r="C19" i="1" l="1"/>
</calcChain>
</file>

<file path=xl/sharedStrings.xml><?xml version="1.0" encoding="utf-8"?>
<sst xmlns="http://schemas.openxmlformats.org/spreadsheetml/2006/main" count="27" uniqueCount="26">
  <si>
    <t>F</t>
  </si>
  <si>
    <t>U</t>
  </si>
  <si>
    <t>Basiert auf dem Zielpreis von $140</t>
  </si>
  <si>
    <t>Hype Sneakers hat die folgenden Kategorien an variablen Kosten:</t>
  </si>
  <si>
    <t>Budgetiertes Ergebnis für 2019</t>
  </si>
  <si>
    <t>Direkte Materialkosten</t>
  </si>
  <si>
    <t>Lederpreis pro m2</t>
  </si>
  <si>
    <t>Benötigtes Leder für ein Paar Turnschuhe in m2</t>
  </si>
  <si>
    <t>Direkte Fertigungsarbeit</t>
  </si>
  <si>
    <t>Fertigungskosten pro Einheit</t>
  </si>
  <si>
    <t>Maschinenstunden</t>
  </si>
  <si>
    <t>Kostenrate pro Maschinenstunde</t>
  </si>
  <si>
    <t>Maschinenstunden pro Einheit</t>
  </si>
  <si>
    <t>Budgetiert für 2019</t>
  </si>
  <si>
    <t>Einheiten zur Herstellung und zum Verkauf</t>
  </si>
  <si>
    <t>Summe variable Kosten</t>
  </si>
  <si>
    <t>Variable Fertigungsgemeinkosten</t>
  </si>
  <si>
    <t>Direkte Fertigungskosten</t>
  </si>
  <si>
    <t>Zielkosten und Zielpreis</t>
  </si>
  <si>
    <t>Summe Zielerlös (1)</t>
  </si>
  <si>
    <t>Zielbetriebsergebnis pro Einheit (2)</t>
  </si>
  <si>
    <t>Summe Zielbetriebsergebnis (3) = (1 x 2)</t>
  </si>
  <si>
    <t>Zielbetriebsergebnis pro Einheit (4) = (3) / Einheiten</t>
  </si>
  <si>
    <t>Stückzielkosten
(5) = Preis - (4)</t>
  </si>
  <si>
    <t>Summe Fixkosten</t>
  </si>
  <si>
    <t>Summe Fixkosten pro Einheit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</si>
</sst>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"/>
    <numFmt numFmtId="167" formatCode="&quot;CHF&quot;\ #,##0.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7F7"/>
        <bgColor indexed="64"/>
      </patternFill>
    </fill>
    <fill>
      <patternFill patternType="solid">
        <fgColor rgb="FFFF898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1F7E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8">
    <xf numFmtId="0" fontId="0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43">
    <xf numFmtId="0" fontId="0" fillId="0" borderId="0" xfId="0"/>
    <xf numFmtId="0" fontId="5" fillId="0" borderId="0" xfId="0" applyFont="1"/>
    <xf numFmtId="0" fontId="4" fillId="0" borderId="0" xfId="6"/>
    <xf numFmtId="0" fontId="6" fillId="0" borderId="0" xfId="8" applyFont="1"/>
    <xf numFmtId="0" fontId="5" fillId="0" borderId="0" xfId="13" applyFont="1" applyAlignment="1">
      <alignment horizontal="left" vertical="top"/>
    </xf>
    <xf numFmtId="0" fontId="5" fillId="0" borderId="0" xfId="14" applyFont="1" applyAlignment="1">
      <alignment vertical="top" wrapText="1"/>
    </xf>
    <xf numFmtId="166" fontId="5" fillId="0" borderId="0" xfId="16" applyNumberFormat="1" applyFont="1" applyAlignment="1">
      <alignment horizontal="right" vertical="top"/>
    </xf>
    <xf numFmtId="0" fontId="5" fillId="0" borderId="0" xfId="1" applyNumberFormat="1" applyFont="1" applyAlignment="1">
      <alignment horizontal="left" vertical="top" wrapText="1"/>
    </xf>
    <xf numFmtId="0" fontId="5" fillId="3" borderId="1" xfId="13" applyFont="1" applyFill="1" applyBorder="1" applyAlignment="1">
      <alignment horizontal="left" vertical="top"/>
    </xf>
    <xf numFmtId="0" fontId="5" fillId="3" borderId="0" xfId="1" applyNumberFormat="1" applyFont="1" applyFill="1" applyBorder="1" applyAlignment="1">
      <alignment horizontal="left" vertical="top" wrapText="1"/>
    </xf>
    <xf numFmtId="0" fontId="5" fillId="4" borderId="0" xfId="1" applyNumberFormat="1" applyFont="1" applyFill="1" applyBorder="1" applyAlignment="1">
      <alignment horizontal="left" vertical="top" wrapText="1"/>
    </xf>
    <xf numFmtId="167" fontId="5" fillId="3" borderId="0" xfId="1" applyNumberFormat="1" applyFont="1" applyFill="1" applyBorder="1" applyAlignment="1">
      <alignment horizontal="right" vertical="top" wrapText="1"/>
    </xf>
    <xf numFmtId="0" fontId="5" fillId="3" borderId="0" xfId="13" applyFont="1" applyFill="1" applyBorder="1" applyAlignment="1">
      <alignment horizontal="left" vertical="top"/>
    </xf>
    <xf numFmtId="0" fontId="7" fillId="4" borderId="0" xfId="1" applyNumberFormat="1" applyFont="1" applyFill="1" applyBorder="1" applyAlignment="1">
      <alignment horizontal="left" vertical="top"/>
    </xf>
    <xf numFmtId="0" fontId="6" fillId="3" borderId="1" xfId="1" applyNumberFormat="1" applyFont="1" applyFill="1" applyBorder="1" applyAlignment="1">
      <alignment horizontal="left" vertical="top" wrapText="1"/>
    </xf>
    <xf numFmtId="0" fontId="5" fillId="3" borderId="1" xfId="1" applyNumberFormat="1" applyFont="1" applyFill="1" applyBorder="1" applyAlignment="1">
      <alignment horizontal="left" vertical="top" wrapText="1"/>
    </xf>
    <xf numFmtId="0" fontId="6" fillId="3" borderId="1" xfId="1" applyNumberFormat="1" applyFont="1" applyFill="1" applyBorder="1" applyAlignment="1">
      <alignment horizontal="right" vertical="top" wrapText="1"/>
    </xf>
    <xf numFmtId="0" fontId="6" fillId="3" borderId="1" xfId="13" applyFont="1" applyFill="1" applyBorder="1" applyAlignment="1">
      <alignment horizontal="left" vertical="top"/>
    </xf>
    <xf numFmtId="167" fontId="6" fillId="3" borderId="1" xfId="1" applyNumberFormat="1" applyFont="1" applyFill="1" applyBorder="1" applyAlignment="1">
      <alignment horizontal="right" vertical="top" wrapText="1"/>
    </xf>
    <xf numFmtId="0" fontId="5" fillId="3" borderId="2" xfId="0" applyFont="1" applyFill="1" applyBorder="1"/>
    <xf numFmtId="2" fontId="5" fillId="3" borderId="0" xfId="1" applyNumberFormat="1" applyFont="1" applyFill="1" applyBorder="1" applyAlignment="1">
      <alignment horizontal="right" vertical="top" wrapText="1"/>
    </xf>
    <xf numFmtId="0" fontId="5" fillId="0" borderId="0" xfId="0" applyFont="1" applyAlignment="1">
      <alignment horizontal="center"/>
    </xf>
    <xf numFmtId="0" fontId="10" fillId="0" borderId="1" xfId="0" applyFont="1" applyBorder="1" applyAlignment="1">
      <alignment vertical="center"/>
    </xf>
    <xf numFmtId="3" fontId="6" fillId="3" borderId="1" xfId="17" applyNumberFormat="1" applyFont="1" applyFill="1" applyBorder="1" applyAlignment="1">
      <alignment horizontal="right" vertical="top"/>
    </xf>
    <xf numFmtId="0" fontId="9" fillId="7" borderId="3" xfId="1" applyNumberFormat="1" applyFont="1" applyFill="1" applyBorder="1" applyAlignment="1">
      <alignment horizontal="center" vertical="center" wrapText="1"/>
    </xf>
    <xf numFmtId="0" fontId="6" fillId="3" borderId="4" xfId="1" applyNumberFormat="1" applyFont="1" applyFill="1" applyBorder="1" applyAlignment="1">
      <alignment horizontal="center" vertical="center" wrapText="1"/>
    </xf>
    <xf numFmtId="0" fontId="9" fillId="9" borderId="4" xfId="1" applyNumberFormat="1" applyFont="1" applyFill="1" applyBorder="1" applyAlignment="1">
      <alignment horizontal="center" vertical="center" wrapText="1"/>
    </xf>
    <xf numFmtId="0" fontId="9" fillId="8" borderId="4" xfId="1" applyNumberFormat="1" applyFont="1" applyFill="1" applyBorder="1" applyAlignment="1">
      <alignment horizontal="center" vertical="center" wrapText="1"/>
    </xf>
    <xf numFmtId="0" fontId="6" fillId="3" borderId="5" xfId="1" applyNumberFormat="1" applyFont="1" applyFill="1" applyBorder="1" applyAlignment="1">
      <alignment horizontal="center" vertical="center" wrapText="1"/>
    </xf>
    <xf numFmtId="3" fontId="5" fillId="6" borderId="6" xfId="19" applyNumberFormat="1" applyFont="1" applyFill="1" applyBorder="1" applyAlignment="1">
      <alignment horizontal="right"/>
    </xf>
    <xf numFmtId="9" fontId="5" fillId="4" borderId="7" xfId="27" applyFont="1" applyFill="1" applyBorder="1" applyAlignment="1">
      <alignment horizontal="center"/>
    </xf>
    <xf numFmtId="3" fontId="5" fillId="10" borderId="7" xfId="19" applyNumberFormat="1" applyFont="1" applyFill="1" applyBorder="1" applyAlignment="1">
      <alignment horizontal="center"/>
    </xf>
    <xf numFmtId="3" fontId="5" fillId="2" borderId="7" xfId="19" applyNumberFormat="1" applyFont="1" applyFill="1" applyBorder="1" applyAlignment="1">
      <alignment horizontal="center"/>
    </xf>
    <xf numFmtId="3" fontId="5" fillId="4" borderId="8" xfId="19" applyNumberFormat="1" applyFont="1" applyFill="1" applyBorder="1" applyAlignment="1">
      <alignment horizontal="center"/>
    </xf>
    <xf numFmtId="0" fontId="6" fillId="3" borderId="9" xfId="13" applyFont="1" applyFill="1" applyBorder="1" applyAlignment="1">
      <alignment horizontal="left" vertical="top"/>
    </xf>
    <xf numFmtId="167" fontId="3" fillId="3" borderId="9" xfId="1" applyNumberFormat="1" applyFont="1" applyFill="1" applyBorder="1" applyAlignment="1">
      <alignment horizontal="right" vertical="top" wrapText="1"/>
    </xf>
    <xf numFmtId="0" fontId="2" fillId="0" borderId="0" xfId="7" applyFont="1"/>
    <xf numFmtId="0" fontId="2" fillId="3" borderId="0" xfId="13" applyFont="1" applyFill="1" applyBorder="1" applyAlignment="1">
      <alignment horizontal="left" vertical="top"/>
    </xf>
    <xf numFmtId="0" fontId="1" fillId="3" borderId="0" xfId="13" applyFont="1" applyFill="1" applyBorder="1" applyAlignment="1">
      <alignment horizontal="left" vertical="top"/>
    </xf>
    <xf numFmtId="0" fontId="1" fillId="3" borderId="9" xfId="13" applyFont="1" applyFill="1" applyBorder="1" applyAlignment="1">
      <alignment horizontal="left" vertical="top"/>
    </xf>
    <xf numFmtId="0" fontId="6" fillId="0" borderId="0" xfId="1" applyNumberFormat="1" applyFont="1" applyAlignment="1">
      <alignment horizontal="left" vertical="top" wrapText="1"/>
    </xf>
    <xf numFmtId="0" fontId="6" fillId="3" borderId="2" xfId="1" applyNumberFormat="1" applyFont="1" applyFill="1" applyBorder="1" applyAlignment="1">
      <alignment horizontal="left" vertical="top"/>
    </xf>
    <xf numFmtId="0" fontId="8" fillId="5" borderId="0" xfId="1" applyNumberFormat="1" applyFont="1" applyFill="1" applyBorder="1" applyAlignment="1">
      <alignment horizontal="left" vertical="top"/>
    </xf>
  </cellXfs>
  <cellStyles count="28">
    <cellStyle name="/+fGzznrPuYOgiEL1dpjDU0faI8zziyjK+6/LiOelP1KqLgzME4GBy6kD0gN3p57-~KlhZV3kmEx7HLUlR04WYUg==" xfId="26" xr:uid="{00000000-0005-0000-0000-000000000000}"/>
    <cellStyle name="+SjayY5pz3ExcMP9KUrR/dRNhXg4uoqHxFVF1s9q1StmQ3p0heXa7t5IRyftG12o-~6ierX0W1s56oH+C8llBusA==" xfId="4" xr:uid="{00000000-0005-0000-0000-000001000000}"/>
    <cellStyle name="0xAn+PrmstC2edytk0TIZzyeck5SL0qMZkI1dWy3WK4eiV7Z5zJLGWV2ahOXDpkN-~EbI7msCLmyGOF/HVfpxlsw==" xfId="17" xr:uid="{00000000-0005-0000-0000-000002000000}"/>
    <cellStyle name="1LnPAHupWAmLLccWHhO3EZZsugIgbAEyvrktGXEP3usuaEoPizAEIVKp8cagaljD-~Jlb/DpV6QlYi13DH7bVmbA==" xfId="24" xr:uid="{00000000-0005-0000-0000-000003000000}"/>
    <cellStyle name="3VtmJKw9s8TrlXqux05JNfpzMpTtCd+Y5sox4iJX3Jye+5vet1dNbS4Ena8aZmFv-~y1lg1qwRpWj/lTMz+QLyYA==" xfId="12" xr:uid="{00000000-0005-0000-0000-000004000000}"/>
    <cellStyle name="8F16Y1Nzrmr346fBizDUVcpM20RcsV1MVNzStvuYbaNhl/k52K3b35HOdX2gghbn-~/X5X1Fu7PeD954sNPSgQrg==" xfId="8" xr:uid="{00000000-0005-0000-0000-000005000000}"/>
    <cellStyle name="A06Ybh+roMYM9Wl586gKCQP+6miehtuneyLiitMpZz+9o/RVrrpb/63ZofPSM0i/-~bH7ep92PAxRE+DOlWEbdWQ==" xfId="10" xr:uid="{00000000-0005-0000-0000-000006000000}"/>
    <cellStyle name="aOBLbpu4Tf819wbCVBIwodrlXaBzhh/KRwCVFHheO4myJJQ6CmjAqiloE8M/SNXU-~4adPTjgeiLp5Vfc8UwuXPQ==" xfId="20" xr:uid="{00000000-0005-0000-0000-000007000000}"/>
    <cellStyle name="Custom Style 1" xfId="1" xr:uid="{00000000-0005-0000-0000-000008000000}"/>
    <cellStyle name="Custom Style 2" xfId="2" xr:uid="{00000000-0005-0000-0000-000009000000}"/>
    <cellStyle name="fmpJnfspcwzjVoZypamai8uboJr8W4stawxQWhvl/R9+iwajkZw02o/ieXh/HCo/-~0IUhtpx6/9ZSv2EBGXN6VQ==" xfId="6" xr:uid="{00000000-0005-0000-0000-00000A000000}"/>
    <cellStyle name="GbgEHt74AJOhUwcItm9qH5FTotwfQLiXt5jxfQE/YdszlzQFYFoiz1+VYpspiGNe-~/wMQtqWR7nbAQdtdAWSC9A==" xfId="21" xr:uid="{00000000-0005-0000-0000-00000B000000}"/>
    <cellStyle name="kSJ2Eco2Wutu0O9JY9e0x6XAQhz7WED3lPk61/oDN8bhSEA0ue+0ZDWxp0WFVfCP-~+RuuHRTSb9zQEh9BwUdiBg==" xfId="14" xr:uid="{00000000-0005-0000-0000-00000C000000}"/>
    <cellStyle name="mAnDSmvcz9QSBRKJE4CmBb+v82artJXIR6v307IIK9JbhDB6IFhew46wQaqZe6oi-~JpJf2BQsaeK2oCOwzkKZKQ==" xfId="15" xr:uid="{00000000-0005-0000-0000-00000D000000}"/>
    <cellStyle name="mdu5nukcYHdXGEabu6l1ZJRFPLEGS+UACuvHX+fNkyai2r8bgRCRimew5YRx+h5U-~qFd71nWRjjQMGc20LyQ4jA==" xfId="7" xr:uid="{00000000-0005-0000-0000-00000E000000}"/>
    <cellStyle name="mmFvr9t4H2VMfzvARtWwZV56KMMkKAn7qqyImqdZ8Z4afq6UGrDCcN/4Xed0fE/q-~Gbz+6+4mRgvGnfHM88Ug0Q==" xfId="16" xr:uid="{00000000-0005-0000-0000-00000F000000}"/>
    <cellStyle name="Mol5ovOzRES924jRkDwNGWR/H6pmZ2pNZXdL81rDK6nv5nZLIs4IkNoRoVd+ECso-~M/k2bgHtGIbSxUXcuv4dAQ==" xfId="3" xr:uid="{00000000-0005-0000-0000-000010000000}"/>
    <cellStyle name="MW568uMj2egmp4AxQv2WcErLpuIoTrF0KJh5MgbL5qSTVUhDEfEbgtXoRIs9lofH-~M0ajPdo8EtxUiYJ1pFgNfQ==" xfId="18" xr:uid="{00000000-0005-0000-0000-000011000000}"/>
    <cellStyle name="n11ZO2X2K0nmLP/CwCFEIzScsu7KVgzFumEdcbmvARuOma0vrJDi6jZnxXoRppza-~YYEFYoXa0V5UX+vJDkgx3A==" xfId="5" xr:uid="{00000000-0005-0000-0000-000012000000}"/>
    <cellStyle name="Prozent" xfId="27" builtinId="5"/>
    <cellStyle name="Rsoi6t8mCnfW8jitIuhyfxjQrp5xD5pCOrXnn0yrDWPfB03K0mZXWkONRO5tCWqO-~oF4/OniLk5uh2eltv64GOg==" xfId="23" xr:uid="{00000000-0005-0000-0000-000013000000}"/>
    <cellStyle name="S2mqYRfYsw+7L7wCVXNkzlylLxIU+QIjNnuPOnzbnM14uEAhqhQq9RmtqjTY37o5-~3kBDLmegmYGkHdQa6nYBQg==" xfId="11" xr:uid="{00000000-0005-0000-0000-000014000000}"/>
    <cellStyle name="SJcCpX7kTrJYxlJ8uhjG5yH+djJ9VpqIjM4xhsgybBDp3TVP0jfQ4T8ec/Gcq2/B-~7fpBqNIxiT9AcHtp89OefA==" xfId="19" xr:uid="{00000000-0005-0000-0000-000015000000}"/>
    <cellStyle name="Standard" xfId="0" builtinId="0"/>
    <cellStyle name="TsUeb7VJ2ZSbi0VtIv3abe+A2zfhtd4HNneFWrQoqr4m8zGaWP5Y9vJ2UCdba6Tl-~KmDD+IX1DVOzoa2/NubYuA==" xfId="13" xr:uid="{00000000-0005-0000-0000-000017000000}"/>
    <cellStyle name="wsxG3BNmVUPOoRNTdXE0gLuFqUu5dZSnH2PaUdMXCYNfIXroy2MDlKTflQRcs3BQ-~nQHwo9TSDj8S2IwgF1xDIA==" xfId="22" xr:uid="{00000000-0005-0000-0000-000018000000}"/>
    <cellStyle name="YG5mprR+b3zMCtyc35xxCDYkK5tNx/LL2p65zna4gQndVMM2e0KR/2uf8jNPrD6p-~3LP41Az5gYaNcG8GvyW9fg==" xfId="25" xr:uid="{00000000-0005-0000-0000-000019000000}"/>
    <cellStyle name="zNv6pqILcL14b8ZiablaCS0CbPKMF0/B/Z3VOzY6xh3SyFa8zDltt94yxhe7oep0-~QfEi0gjXAR+lRkPPoJTN9A==" xfId="9" xr:uid="{00000000-0005-0000-0000-00001A000000}"/>
  </cellStyles>
  <dxfs count="0"/>
  <tableStyles count="0" defaultTableStyle="TableStyleMedium2" defaultPivotStyle="PivotStyleLight16"/>
  <colors>
    <mruColors>
      <color rgb="FFE6D5F3"/>
      <color rgb="FFF1F7ED"/>
      <color rgb="FFFF575B"/>
      <color rgb="FFFF7C80"/>
      <color rgb="FFFFF7F7"/>
      <color rgb="FFFFD5D6"/>
      <color rgb="FFFF898C"/>
      <color rgb="FFFFE7E8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101600</xdr:rowOff>
    </xdr:to>
    <xdr:sp macro="" textlink="">
      <xdr:nvSpPr>
        <xdr:cNvPr id="1027" name="AutoShape 3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BDB8601D-8007-4C04-AAFE-77DE70D0EA14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101600</xdr:rowOff>
    </xdr:to>
    <xdr:sp macro="" textlink="">
      <xdr:nvSpPr>
        <xdr:cNvPr id="1028" name="AutoShape 4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B01DD0D7-0D47-4763-9A17-1A7DEBC40205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101600</xdr:rowOff>
    </xdr:to>
    <xdr:sp macro="" textlink="">
      <xdr:nvSpPr>
        <xdr:cNvPr id="1029" name="AutoShape 5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A52ACD22-78ED-442D-8B96-C27763F9B539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101600</xdr:rowOff>
    </xdr:to>
    <xdr:sp macro="" textlink="">
      <xdr:nvSpPr>
        <xdr:cNvPr id="1030" name="AutoShape 6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BA38A18E-3C15-4F0F-BF2F-D53481A8DC83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24</xdr:row>
      <xdr:rowOff>101600</xdr:rowOff>
    </xdr:to>
    <xdr:sp macro="" textlink="">
      <xdr:nvSpPr>
        <xdr:cNvPr id="1031" name="AutoShape 7" descr="https://cdn.shopify.com/shopifycloud/hatchful-web/assets/d80321286525089fe6b5a5d4759d0efd.svg">
          <a:extLst>
            <a:ext uri="{FF2B5EF4-FFF2-40B4-BE49-F238E27FC236}">
              <a16:creationId xmlns:a16="http://schemas.microsoft.com/office/drawing/2014/main" id="{4D1E456D-E66B-4E00-981D-C16217E52984}"/>
            </a:ext>
          </a:extLst>
        </xdr:cNvPr>
        <xdr:cNvSpPr>
          <a:spLocks noChangeAspect="1" noChangeArrowheads="1"/>
        </xdr:cNvSpPr>
      </xdr:nvSpPr>
      <xdr:spPr bwMode="auto">
        <a:xfrm>
          <a:off x="10795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1041400</xdr:colOff>
      <xdr:row>0</xdr:row>
      <xdr:rowOff>1130497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4831A87B-9364-4AFA-902F-B871D63AD3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1" t="34150" r="5124" b="34396"/>
        <a:stretch/>
      </xdr:blipFill>
      <xdr:spPr>
        <a:xfrm>
          <a:off x="0" y="0"/>
          <a:ext cx="2971800" cy="1130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183697</xdr:colOff>
      <xdr:row>0</xdr:row>
      <xdr:rowOff>1133672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7F6B42F-3601-42A9-82EA-D60B8D7D8E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1" t="34150" r="5124" b="34396"/>
        <a:stretch/>
      </xdr:blipFill>
      <xdr:spPr>
        <a:xfrm>
          <a:off x="0" y="0"/>
          <a:ext cx="2975429" cy="1133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zoomScale="108" zoomScaleNormal="108" workbookViewId="0">
      <selection activeCell="B21" sqref="B21"/>
    </sheetView>
  </sheetViews>
  <sheetFormatPr baseColWidth="10" defaultColWidth="8.83203125" defaultRowHeight="16" x14ac:dyDescent="0.2"/>
  <cols>
    <col min="1" max="1" width="27.6640625" style="1" customWidth="1"/>
    <col min="2" max="2" width="38.1640625" style="1" bestFit="1" customWidth="1"/>
    <col min="3" max="3" width="29.33203125" style="1" bestFit="1" customWidth="1"/>
    <col min="4" max="4" width="32.83203125" style="1" customWidth="1"/>
    <col min="5" max="8" width="8.83203125" style="1"/>
    <col min="9" max="9" width="13.33203125" style="1" customWidth="1"/>
    <col min="10" max="16384" width="8.83203125" style="1"/>
  </cols>
  <sheetData>
    <row r="1" spans="1:9" ht="94" customHeight="1" x14ac:dyDescent="0.2">
      <c r="A1" s="3"/>
    </row>
    <row r="2" spans="1:9" ht="21" customHeight="1" x14ac:dyDescent="0.2">
      <c r="A2" s="40" t="s">
        <v>3</v>
      </c>
      <c r="B2" s="40"/>
      <c r="C2" s="40"/>
      <c r="D2" s="40"/>
      <c r="E2" s="40"/>
      <c r="F2" s="40"/>
      <c r="G2" s="40"/>
      <c r="H2" s="40"/>
      <c r="I2" s="5"/>
    </row>
    <row r="3" spans="1:9" ht="19" x14ac:dyDescent="0.2">
      <c r="A3" s="42" t="s">
        <v>4</v>
      </c>
      <c r="B3" s="42"/>
      <c r="C3" s="42"/>
      <c r="D3" s="42"/>
      <c r="E3" s="7"/>
      <c r="F3" s="7"/>
      <c r="G3" s="7"/>
      <c r="H3" s="7"/>
      <c r="I3" s="5"/>
    </row>
    <row r="4" spans="1:9" ht="19" x14ac:dyDescent="0.2">
      <c r="A4" s="13"/>
      <c r="B4" s="13"/>
      <c r="C4" s="13"/>
      <c r="D4" s="13"/>
      <c r="E4" s="7"/>
      <c r="F4" s="7"/>
      <c r="G4" s="7"/>
      <c r="H4" s="7"/>
      <c r="I4" s="5"/>
    </row>
    <row r="5" spans="1:9" ht="34" x14ac:dyDescent="0.2">
      <c r="A5" s="7"/>
      <c r="B5" s="14" t="s">
        <v>5</v>
      </c>
      <c r="C5" s="16" t="s">
        <v>6</v>
      </c>
      <c r="D5" s="16" t="s">
        <v>7</v>
      </c>
      <c r="E5" s="7"/>
      <c r="F5" s="7"/>
      <c r="G5" s="7"/>
      <c r="H5" s="7"/>
      <c r="I5" s="5"/>
    </row>
    <row r="6" spans="1:9" ht="15.5" customHeight="1" x14ac:dyDescent="0.2">
      <c r="A6" s="7"/>
      <c r="B6" s="9"/>
      <c r="C6" s="11">
        <v>40</v>
      </c>
      <c r="D6" s="20">
        <v>1</v>
      </c>
      <c r="E6" s="7"/>
      <c r="F6" s="7"/>
      <c r="G6" s="7"/>
      <c r="H6" s="7"/>
      <c r="I6" s="5"/>
    </row>
    <row r="7" spans="1:9" ht="15.5" customHeight="1" x14ac:dyDescent="0.2">
      <c r="A7" s="7"/>
      <c r="B7" s="9"/>
      <c r="C7" s="9"/>
      <c r="D7" s="9"/>
      <c r="E7" s="7"/>
      <c r="F7" s="7"/>
      <c r="G7" s="7"/>
      <c r="H7" s="7"/>
      <c r="I7" s="5"/>
    </row>
    <row r="8" spans="1:9" ht="15.5" customHeight="1" x14ac:dyDescent="0.2">
      <c r="A8" s="7"/>
      <c r="B8" s="14" t="s">
        <v>8</v>
      </c>
      <c r="C8" s="16" t="s">
        <v>9</v>
      </c>
      <c r="D8" s="15"/>
      <c r="E8" s="7"/>
      <c r="F8" s="7"/>
      <c r="G8" s="7"/>
      <c r="H8" s="7"/>
      <c r="I8" s="5"/>
    </row>
    <row r="9" spans="1:9" ht="15.5" customHeight="1" x14ac:dyDescent="0.2">
      <c r="A9" s="7"/>
      <c r="B9" s="9"/>
      <c r="C9" s="11">
        <v>25</v>
      </c>
      <c r="D9" s="9"/>
      <c r="E9" s="7"/>
      <c r="F9" s="7"/>
      <c r="G9" s="7"/>
      <c r="H9" s="7"/>
      <c r="I9" s="5"/>
    </row>
    <row r="10" spans="1:9" ht="15.5" customHeight="1" x14ac:dyDescent="0.2">
      <c r="A10" s="7"/>
      <c r="B10" s="9"/>
      <c r="C10" s="11"/>
      <c r="D10" s="9"/>
      <c r="E10" s="7"/>
      <c r="F10" s="7"/>
      <c r="G10" s="7"/>
      <c r="H10" s="7"/>
      <c r="I10" s="5"/>
    </row>
    <row r="11" spans="1:9" ht="15.5" customHeight="1" x14ac:dyDescent="0.2">
      <c r="A11" s="7"/>
      <c r="B11" s="14" t="s">
        <v>10</v>
      </c>
      <c r="C11" s="16" t="s">
        <v>11</v>
      </c>
      <c r="D11" s="16" t="s">
        <v>12</v>
      </c>
      <c r="E11" s="7"/>
      <c r="F11" s="7"/>
      <c r="G11" s="7"/>
      <c r="H11" s="7"/>
      <c r="I11" s="5"/>
    </row>
    <row r="12" spans="1:9" ht="15.5" customHeight="1" x14ac:dyDescent="0.2">
      <c r="A12" s="7"/>
      <c r="B12" s="9">
        <f>C15*D12</f>
        <v>10000</v>
      </c>
      <c r="C12" s="11">
        <v>15</v>
      </c>
      <c r="D12" s="20">
        <v>1</v>
      </c>
      <c r="E12" s="7"/>
      <c r="F12" s="7"/>
      <c r="G12" s="7"/>
      <c r="H12" s="7"/>
      <c r="I12" s="5"/>
    </row>
    <row r="13" spans="1:9" ht="15.5" customHeight="1" x14ac:dyDescent="0.2">
      <c r="A13" s="7"/>
      <c r="B13" s="10"/>
      <c r="C13" s="10"/>
      <c r="D13" s="10"/>
      <c r="E13" s="7"/>
      <c r="F13" s="7"/>
      <c r="G13" s="7"/>
      <c r="H13" s="7"/>
      <c r="I13" s="5"/>
    </row>
    <row r="14" spans="1:9" ht="17" thickBot="1" x14ac:dyDescent="0.25">
      <c r="A14" s="4"/>
      <c r="B14" s="41" t="s">
        <v>13</v>
      </c>
      <c r="C14" s="41"/>
      <c r="D14" s="19"/>
      <c r="E14" s="4"/>
      <c r="F14" s="4"/>
      <c r="G14" s="4"/>
      <c r="H14" s="4"/>
      <c r="I14" s="4"/>
    </row>
    <row r="15" spans="1:9" x14ac:dyDescent="0.2">
      <c r="A15" s="4"/>
      <c r="B15" s="17" t="s">
        <v>14</v>
      </c>
      <c r="C15" s="23">
        <v>10000</v>
      </c>
      <c r="D15" s="17"/>
      <c r="E15" s="4"/>
      <c r="F15" s="4"/>
      <c r="G15" s="4"/>
      <c r="H15" s="4"/>
      <c r="I15" s="4"/>
    </row>
    <row r="16" spans="1:9" x14ac:dyDescent="0.2">
      <c r="A16" s="4"/>
      <c r="B16" s="37" t="s">
        <v>5</v>
      </c>
      <c r="C16" s="11">
        <f>C6</f>
        <v>40</v>
      </c>
      <c r="D16" s="12"/>
      <c r="E16" s="4"/>
      <c r="F16" s="4"/>
      <c r="G16" s="4"/>
      <c r="H16" s="4"/>
      <c r="I16" s="4"/>
    </row>
    <row r="17" spans="1:9" x14ac:dyDescent="0.2">
      <c r="A17" s="4"/>
      <c r="B17" s="37" t="s">
        <v>17</v>
      </c>
      <c r="C17" s="11">
        <f>C9</f>
        <v>25</v>
      </c>
      <c r="D17" s="12"/>
      <c r="E17" s="4"/>
      <c r="F17" s="4"/>
      <c r="G17" s="4"/>
      <c r="H17" s="4"/>
      <c r="I17" s="4"/>
    </row>
    <row r="18" spans="1:9" x14ac:dyDescent="0.2">
      <c r="A18" s="4"/>
      <c r="B18" s="38" t="s">
        <v>16</v>
      </c>
      <c r="C18" s="11">
        <f>C12</f>
        <v>15</v>
      </c>
      <c r="D18" s="12"/>
      <c r="E18" s="4"/>
      <c r="F18" s="4"/>
      <c r="G18" s="4"/>
      <c r="H18" s="4"/>
      <c r="I18" s="4"/>
    </row>
    <row r="19" spans="1:9" x14ac:dyDescent="0.2">
      <c r="A19" s="4"/>
      <c r="B19" s="17" t="s">
        <v>15</v>
      </c>
      <c r="C19" s="18">
        <f>SUM(C16:C18)</f>
        <v>80</v>
      </c>
      <c r="D19" s="8"/>
      <c r="E19" s="4"/>
      <c r="F19" s="4"/>
      <c r="G19" s="4"/>
      <c r="H19" s="4"/>
      <c r="I19" s="4"/>
    </row>
    <row r="20" spans="1:9" x14ac:dyDescent="0.2">
      <c r="A20" s="4"/>
      <c r="B20" s="39" t="s">
        <v>24</v>
      </c>
      <c r="C20" s="35">
        <v>450000</v>
      </c>
      <c r="D20" s="34"/>
      <c r="E20" s="4"/>
      <c r="F20" s="4"/>
      <c r="G20" s="4"/>
      <c r="H20" s="4"/>
      <c r="I20" s="4"/>
    </row>
    <row r="21" spans="1:9" x14ac:dyDescent="0.2">
      <c r="A21" s="4"/>
      <c r="B21" s="17" t="s">
        <v>25</v>
      </c>
      <c r="C21" s="18">
        <f>C20/C15</f>
        <v>45</v>
      </c>
      <c r="D21" s="17"/>
      <c r="E21" s="4"/>
      <c r="F21" s="4"/>
      <c r="G21" s="4"/>
      <c r="H21" s="4"/>
      <c r="I21" s="4"/>
    </row>
    <row r="22" spans="1:9" x14ac:dyDescent="0.2">
      <c r="A22" s="4"/>
      <c r="B22" s="4"/>
      <c r="C22" s="6"/>
      <c r="D22" s="4"/>
      <c r="E22" s="4"/>
      <c r="F22" s="4"/>
      <c r="G22" s="4"/>
      <c r="H22" s="4"/>
      <c r="I22" s="4"/>
    </row>
    <row r="23" spans="1:9" x14ac:dyDescent="0.2">
      <c r="A23" s="4"/>
      <c r="B23" s="4"/>
      <c r="C23" s="6"/>
      <c r="D23" s="4"/>
      <c r="E23" s="4"/>
      <c r="F23" s="4"/>
      <c r="G23" s="4"/>
      <c r="H23" s="4"/>
      <c r="I23" s="4"/>
    </row>
  </sheetData>
  <mergeCells count="3">
    <mergeCell ref="A2:H2"/>
    <mergeCell ref="B14:C14"/>
    <mergeCell ref="A3:D3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0655-5596-4D40-9879-4AB69EA0E766}">
  <sheetPr>
    <tabColor rgb="FFFFF7F7"/>
  </sheetPr>
  <dimension ref="A1:F7"/>
  <sheetViews>
    <sheetView showGridLines="0" tabSelected="1" zoomScale="112" zoomScaleNormal="70" workbookViewId="0">
      <selection activeCell="C6" sqref="C6"/>
    </sheetView>
  </sheetViews>
  <sheetFormatPr baseColWidth="10" defaultColWidth="8.83203125" defaultRowHeight="16" x14ac:dyDescent="0.2"/>
  <cols>
    <col min="1" max="1" width="39.6640625" style="1" bestFit="1" customWidth="1"/>
    <col min="2" max="2" width="18.83203125" style="1" bestFit="1" customWidth="1"/>
    <col min="3" max="3" width="18.33203125" style="1" customWidth="1"/>
    <col min="4" max="4" width="23" style="1" customWidth="1"/>
    <col min="5" max="6" width="27.5" style="1" customWidth="1"/>
    <col min="7" max="7" width="8.83203125" style="1"/>
    <col min="8" max="8" width="14.6640625" style="1" bestFit="1" customWidth="1"/>
    <col min="9" max="16384" width="8.83203125" style="1"/>
  </cols>
  <sheetData>
    <row r="1" spans="1:6" ht="92.5" customHeight="1" x14ac:dyDescent="0.2"/>
    <row r="2" spans="1:6" x14ac:dyDescent="0.2">
      <c r="E2" s="21"/>
      <c r="F2" s="21"/>
    </row>
    <row r="3" spans="1:6" x14ac:dyDescent="0.2">
      <c r="E3" s="21"/>
      <c r="F3" s="21"/>
    </row>
    <row r="5" spans="1:6" ht="17" thickBot="1" x14ac:dyDescent="0.25"/>
    <row r="6" spans="1:6" ht="51" customHeight="1" x14ac:dyDescent="0.2">
      <c r="A6" s="22" t="s">
        <v>18</v>
      </c>
      <c r="B6" s="24" t="s">
        <v>19</v>
      </c>
      <c r="C6" s="25" t="s">
        <v>20</v>
      </c>
      <c r="D6" s="26" t="s">
        <v>21</v>
      </c>
      <c r="E6" s="27" t="s">
        <v>22</v>
      </c>
      <c r="F6" s="28" t="s">
        <v>23</v>
      </c>
    </row>
    <row r="7" spans="1:6" ht="17" thickBot="1" x14ac:dyDescent="0.25">
      <c r="A7" s="36" t="s">
        <v>2</v>
      </c>
      <c r="B7" s="29">
        <f>'Budgetierte Kosten'!C15*140</f>
        <v>1400000</v>
      </c>
      <c r="C7" s="30">
        <v>0.15</v>
      </c>
      <c r="D7" s="31">
        <f>B7*C7</f>
        <v>210000</v>
      </c>
      <c r="E7" s="32">
        <f>D7/10000</f>
        <v>21</v>
      </c>
      <c r="F7" s="33">
        <f>140-E7</f>
        <v>119</v>
      </c>
    </row>
  </sheetData>
  <pageMargins left="0.70866141732283472" right="0.70866141732283472" top="0.74803149606299213" bottom="0.74803149606299213" header="0.31496062992125984" footer="0.31496062992125984"/>
  <pageSetup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sqref="A1:A2"/>
    </sheetView>
  </sheetViews>
  <sheetFormatPr baseColWidth="10" defaultColWidth="9.1640625" defaultRowHeight="15" x14ac:dyDescent="0.2"/>
  <sheetData>
    <row r="1" spans="1:1" x14ac:dyDescent="0.2">
      <c r="A1" s="2" t="s">
        <v>0</v>
      </c>
    </row>
    <row r="2" spans="1:1" x14ac:dyDescent="0.2">
      <c r="A2" s="2" t="s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RnRKUhFhUIiKVBVvtNp2il2K+z8ZWP+ip2qMl1ENYAYFsl8r5Oytv1z9nHp+btZR-~HEUF8/2wt0kUFaYIiavldw==</id>
</project>
</file>

<file path=customXml/itemProps1.xml><?xml version="1.0" encoding="utf-8"?>
<ds:datastoreItem xmlns:ds="http://schemas.openxmlformats.org/officeDocument/2006/customXml" ds:itemID="{EC4EA797-5B2B-4074-B74E-D30EE4AA195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Budgetierte Kosten</vt:lpstr>
      <vt:lpstr>Zielkosten und Zielpreis</vt:lpstr>
      <vt:lpstr>Sheet1</vt:lpstr>
      <vt:lpstr>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vlee</dc:creator>
  <cp:lastModifiedBy>Stopp, Sophie</cp:lastModifiedBy>
  <cp:lastPrinted>2019-08-31T19:31:02Z</cp:lastPrinted>
  <dcterms:created xsi:type="dcterms:W3CDTF">2017-07-04T19:19:43Z</dcterms:created>
  <dcterms:modified xsi:type="dcterms:W3CDTF">2021-02-17T09:42:06Z</dcterms:modified>
</cp:coreProperties>
</file>