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klaus_moeller_unisg_ch/Documents/99 Freigaben/ACA FS21/01 Videos/Excel Files/"/>
    </mc:Choice>
  </mc:AlternateContent>
  <xr:revisionPtr revIDLastSave="52" documentId="13_ncr:1_{1B7CFF2B-71FE-42BA-AD23-5290F855E805}" xr6:coauthVersionLast="46" xr6:coauthVersionMax="46" xr10:uidLastSave="{F6FA9DAF-0BAA-3040-A890-F2CB02C50306}"/>
  <bookViews>
    <workbookView xWindow="0" yWindow="460" windowWidth="16800" windowHeight="19040" xr2:uid="{F61C0FAA-D5FB-49CB-8285-67C24DF2C99E}"/>
  </bookViews>
  <sheets>
    <sheet name="Kapitalbedarfsrechnung" sheetId="2" r:id="rId1"/>
  </sheets>
  <externalReferences>
    <externalReference r:id="rId2"/>
  </externalReferences>
  <definedNames>
    <definedName name="Variance">[1]Sheet1!$A$1:$A$2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2" l="1"/>
  <c r="C64" i="2"/>
  <c r="C66" i="2" s="1"/>
  <c r="C60" i="2"/>
  <c r="C59" i="2"/>
  <c r="C61" i="2" s="1"/>
  <c r="D53" i="2" l="1"/>
  <c r="E53" i="2"/>
  <c r="F53" i="2"/>
  <c r="G53" i="2"/>
  <c r="C53" i="2"/>
  <c r="C54" i="2" s="1"/>
  <c r="D49" i="2"/>
  <c r="E49" i="2"/>
  <c r="F49" i="2"/>
  <c r="G49" i="2"/>
  <c r="C49" i="2"/>
  <c r="D30" i="2"/>
  <c r="E30" i="2"/>
  <c r="F30" i="2"/>
  <c r="G30" i="2"/>
  <c r="C30" i="2"/>
  <c r="C31" i="2" s="1"/>
  <c r="D25" i="2"/>
  <c r="E25" i="2"/>
  <c r="F25" i="2"/>
  <c r="G25" i="2"/>
  <c r="C25" i="2"/>
  <c r="C26" i="2" s="1"/>
  <c r="D19" i="2"/>
  <c r="D42" i="2" s="1"/>
  <c r="E19" i="2"/>
  <c r="E42" i="2" s="1"/>
  <c r="F19" i="2"/>
  <c r="F42" i="2" s="1"/>
  <c r="G19" i="2"/>
  <c r="G42" i="2" s="1"/>
  <c r="C19" i="2"/>
  <c r="D15" i="2"/>
  <c r="D37" i="2" s="1"/>
  <c r="E15" i="2"/>
  <c r="E37" i="2" s="1"/>
  <c r="F15" i="2"/>
  <c r="F37" i="2" s="1"/>
  <c r="G15" i="2"/>
  <c r="G37" i="2" s="1"/>
  <c r="C15" i="2"/>
  <c r="C37" i="2" s="1"/>
  <c r="C38" i="2" s="1"/>
  <c r="C50" i="2" l="1"/>
  <c r="C42" i="2"/>
  <c r="C43" i="2" s="1"/>
  <c r="D43" i="2" s="1"/>
  <c r="E43" i="2" s="1"/>
  <c r="F43" i="2" s="1"/>
  <c r="G43" i="2" s="1"/>
  <c r="D31" i="2"/>
  <c r="E31" i="2" s="1"/>
  <c r="F31" i="2" s="1"/>
  <c r="G31" i="2" s="1"/>
  <c r="D38" i="2"/>
  <c r="E38" i="2" s="1"/>
  <c r="C39" i="2" s="1"/>
  <c r="D26" i="2"/>
  <c r="E26" i="2" s="1"/>
  <c r="C27" i="2" s="1"/>
  <c r="C20" i="2"/>
  <c r="C16" i="2"/>
  <c r="C32" i="2" l="1"/>
  <c r="F38" i="2"/>
  <c r="G38" i="2" s="1"/>
  <c r="F26" i="2"/>
  <c r="G26" i="2" s="1"/>
  <c r="C44" i="2"/>
</calcChain>
</file>

<file path=xl/sharedStrings.xml><?xml version="1.0" encoding="utf-8"?>
<sst xmlns="http://schemas.openxmlformats.org/spreadsheetml/2006/main" count="48" uniqueCount="25">
  <si>
    <t>t</t>
  </si>
  <si>
    <t>IRR</t>
  </si>
  <si>
    <t>AARR</t>
  </si>
  <si>
    <t>Hype Sneakers hat die folgenden zwei Anlagealternativen:</t>
  </si>
  <si>
    <t xml:space="preserve">Investitionen in Maschinen: </t>
  </si>
  <si>
    <t xml:space="preserve">Kapitalkosten: </t>
  </si>
  <si>
    <t>Projekt A</t>
  </si>
  <si>
    <t>Projekt B</t>
  </si>
  <si>
    <t>Erhöhungen der Abschreibung</t>
  </si>
  <si>
    <t>Projekt A:</t>
  </si>
  <si>
    <t>Projekt B:</t>
  </si>
  <si>
    <t>Barwert</t>
  </si>
  <si>
    <t>Kapitalwert</t>
  </si>
  <si>
    <t>Kapitalwert (NPV) Analyse</t>
  </si>
  <si>
    <t xml:space="preserve">Amortisationszeit-Regel </t>
  </si>
  <si>
    <t>Amortisationszeit</t>
  </si>
  <si>
    <t>Abgezinste Amortisationszeit</t>
  </si>
  <si>
    <t>Internal Rate of Return (IRR) (Interne Ertragssatzmethode)</t>
  </si>
  <si>
    <t>Kapitalflüsse</t>
  </si>
  <si>
    <t>Abgezinste Netto Kapitalflüsse</t>
  </si>
  <si>
    <t>Kumulierte Kapitalflüsse</t>
  </si>
  <si>
    <t>Netto Kapitalflüsse</t>
  </si>
  <si>
    <t>Accrual Accounting Rate of Return (AARR) (Rentabilitätsvergleichsrechnung)</t>
  </si>
  <si>
    <t xml:space="preserve">Netto-Erstinvestition </t>
  </si>
  <si>
    <t>Anstieg des erwarteten durchschnittlichen jährlichen Betriebsergebnisses nach Steuern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</si>
</sst>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CHF&quot;\ #,##0.00"/>
    <numFmt numFmtId="166" formatCode="&quot;$&quot;#,##0"/>
    <numFmt numFmtId="167" formatCode="&quot;CHF&quot;\ #,##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98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3" applyFont="1"/>
    <xf numFmtId="0" fontId="3" fillId="0" borderId="0" xfId="1" applyFont="1" applyAlignment="1">
      <alignment horizontal="left" vertical="top"/>
    </xf>
    <xf numFmtId="165" fontId="3" fillId="2" borderId="0" xfId="2" applyNumberFormat="1" applyFont="1" applyFill="1" applyBorder="1" applyAlignment="1">
      <alignment horizontal="right" vertical="top" wrapText="1"/>
    </xf>
    <xf numFmtId="0" fontId="3" fillId="0" borderId="0" xfId="1" applyFont="1" applyBorder="1" applyAlignment="1">
      <alignment horizontal="left" vertical="top"/>
    </xf>
    <xf numFmtId="0" fontId="3" fillId="2" borderId="0" xfId="2" applyNumberFormat="1" applyFont="1" applyFill="1" applyBorder="1" applyAlignment="1">
      <alignment horizontal="left" vertical="top" wrapText="1"/>
    </xf>
    <xf numFmtId="0" fontId="4" fillId="2" borderId="1" xfId="2" applyNumberFormat="1" applyFont="1" applyFill="1" applyBorder="1" applyAlignment="1">
      <alignment horizontal="left" vertical="top" wrapText="1"/>
    </xf>
    <xf numFmtId="2" fontId="3" fillId="2" borderId="0" xfId="2" applyNumberFormat="1" applyFont="1" applyFill="1" applyBorder="1" applyAlignment="1">
      <alignment horizontal="right" vertical="top" wrapText="1"/>
    </xf>
    <xf numFmtId="0" fontId="5" fillId="3" borderId="0" xfId="2" applyNumberFormat="1" applyFont="1" applyFill="1" applyBorder="1" applyAlignment="1">
      <alignment horizontal="left" vertical="top"/>
    </xf>
    <xf numFmtId="166" fontId="3" fillId="0" borderId="0" xfId="5" applyNumberFormat="1" applyFont="1" applyAlignment="1">
      <alignment horizontal="right" vertical="top"/>
    </xf>
    <xf numFmtId="0" fontId="3" fillId="0" borderId="0" xfId="6" applyFont="1" applyAlignment="1">
      <alignment vertical="top" wrapText="1"/>
    </xf>
    <xf numFmtId="0" fontId="3" fillId="0" borderId="0" xfId="2" applyNumberFormat="1" applyFont="1" applyAlignment="1">
      <alignment horizontal="left" vertical="top" wrapText="1"/>
    </xf>
    <xf numFmtId="0" fontId="3" fillId="3" borderId="0" xfId="2" applyNumberFormat="1" applyFont="1" applyFill="1" applyBorder="1" applyAlignment="1">
      <alignment horizontal="left" vertical="top" wrapText="1"/>
    </xf>
    <xf numFmtId="0" fontId="4" fillId="5" borderId="1" xfId="2" applyNumberFormat="1" applyFont="1" applyFill="1" applyBorder="1" applyAlignment="1">
      <alignment horizontal="right" vertical="top" wrapText="1"/>
    </xf>
    <xf numFmtId="0" fontId="4" fillId="5" borderId="1" xfId="2" applyNumberFormat="1" applyFont="1" applyFill="1" applyBorder="1" applyAlignment="1">
      <alignment horizontal="left" vertical="top" wrapText="1"/>
    </xf>
    <xf numFmtId="9" fontId="4" fillId="5" borderId="1" xfId="2" applyNumberFormat="1" applyFont="1" applyFill="1" applyBorder="1" applyAlignment="1">
      <alignment horizontal="right" vertical="top" wrapText="1"/>
    </xf>
    <xf numFmtId="0" fontId="4" fillId="5" borderId="2" xfId="2" applyNumberFormat="1" applyFont="1" applyFill="1" applyBorder="1" applyAlignment="1">
      <alignment vertical="top"/>
    </xf>
    <xf numFmtId="0" fontId="4" fillId="5" borderId="2" xfId="0" applyFont="1" applyFill="1" applyBorder="1"/>
    <xf numFmtId="165" fontId="3" fillId="5" borderId="1" xfId="4" applyNumberFormat="1" applyFont="1" applyFill="1" applyBorder="1" applyAlignment="1">
      <alignment vertical="top"/>
    </xf>
    <xf numFmtId="165" fontId="3" fillId="5" borderId="1" xfId="1" applyNumberFormat="1" applyFont="1" applyFill="1" applyBorder="1" applyAlignment="1">
      <alignment vertical="top"/>
    </xf>
    <xf numFmtId="165" fontId="3" fillId="5" borderId="0" xfId="2" applyNumberFormat="1" applyFont="1" applyFill="1" applyBorder="1" applyAlignment="1">
      <alignment vertical="top" wrapText="1"/>
    </xf>
    <xf numFmtId="165" fontId="3" fillId="5" borderId="0" xfId="1" applyNumberFormat="1" applyFont="1" applyFill="1" applyBorder="1" applyAlignment="1">
      <alignment vertical="top"/>
    </xf>
    <xf numFmtId="0" fontId="4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vertical="top" wrapText="1"/>
    </xf>
    <xf numFmtId="0" fontId="6" fillId="6" borderId="0" xfId="2" applyNumberFormat="1" applyFont="1" applyFill="1" applyBorder="1" applyAlignment="1">
      <alignment horizontal="left" vertical="top"/>
    </xf>
    <xf numFmtId="0" fontId="6" fillId="3" borderId="0" xfId="2" applyNumberFormat="1" applyFont="1" applyFill="1" applyBorder="1" applyAlignment="1">
      <alignment horizontal="left" vertical="top"/>
    </xf>
    <xf numFmtId="0" fontId="3" fillId="3" borderId="0" xfId="2" applyNumberFormat="1" applyFont="1" applyFill="1" applyAlignment="1">
      <alignment horizontal="left" vertical="top" wrapText="1"/>
    </xf>
    <xf numFmtId="0" fontId="3" fillId="2" borderId="0" xfId="2" applyNumberFormat="1" applyFont="1" applyFill="1" applyBorder="1" applyAlignment="1">
      <alignment horizontal="right" vertical="top" wrapText="1"/>
    </xf>
    <xf numFmtId="167" fontId="3" fillId="2" borderId="0" xfId="2" applyNumberFormat="1" applyFont="1" applyFill="1" applyBorder="1" applyAlignment="1">
      <alignment horizontal="right" vertical="top" wrapText="1"/>
    </xf>
    <xf numFmtId="0" fontId="3" fillId="0" borderId="0" xfId="0" applyFont="1" applyBorder="1"/>
    <xf numFmtId="10" fontId="3" fillId="2" borderId="0" xfId="2" applyNumberFormat="1" applyFont="1" applyFill="1" applyBorder="1" applyAlignment="1">
      <alignment horizontal="right" vertical="top" wrapText="1"/>
    </xf>
    <xf numFmtId="165" fontId="3" fillId="5" borderId="3" xfId="2" applyNumberFormat="1" applyFont="1" applyFill="1" applyBorder="1" applyAlignment="1">
      <alignment vertical="top" wrapText="1"/>
    </xf>
    <xf numFmtId="165" fontId="3" fillId="5" borderId="3" xfId="1" applyNumberFormat="1" applyFont="1" applyFill="1" applyBorder="1" applyAlignment="1">
      <alignment vertical="top"/>
    </xf>
    <xf numFmtId="9" fontId="3" fillId="0" borderId="0" xfId="0" applyNumberFormat="1" applyFont="1"/>
    <xf numFmtId="0" fontId="4" fillId="0" borderId="0" xfId="2" applyNumberFormat="1" applyFont="1" applyAlignment="1">
      <alignment horizontal="left" vertical="top" wrapText="1"/>
    </xf>
    <xf numFmtId="0" fontId="6" fillId="4" borderId="0" xfId="2" applyNumberFormat="1" applyFont="1" applyFill="1" applyBorder="1" applyAlignment="1">
      <alignment horizontal="left" vertical="top"/>
    </xf>
    <xf numFmtId="0" fontId="6" fillId="6" borderId="0" xfId="2" applyNumberFormat="1" applyFont="1" applyFill="1" applyBorder="1" applyAlignment="1">
      <alignment horizontal="left" vertical="top"/>
    </xf>
    <xf numFmtId="0" fontId="1" fillId="5" borderId="1" xfId="1" applyFont="1" applyFill="1" applyBorder="1" applyAlignment="1">
      <alignment horizontal="left" vertical="top"/>
    </xf>
    <xf numFmtId="0" fontId="1" fillId="5" borderId="0" xfId="1" applyFont="1" applyFill="1" applyBorder="1" applyAlignment="1">
      <alignment horizontal="left" vertical="top"/>
    </xf>
    <xf numFmtId="0" fontId="1" fillId="5" borderId="3" xfId="1" applyFont="1" applyFill="1" applyBorder="1" applyAlignment="1">
      <alignment horizontal="left" vertical="top"/>
    </xf>
    <xf numFmtId="0" fontId="1" fillId="2" borderId="0" xfId="2" applyNumberFormat="1" applyFont="1" applyFill="1" applyBorder="1" applyAlignment="1">
      <alignment horizontal="left" vertical="top" wrapText="1"/>
    </xf>
    <xf numFmtId="0" fontId="1" fillId="2" borderId="0" xfId="2" applyNumberFormat="1" applyFont="1" applyFill="1" applyBorder="1" applyAlignment="1">
      <alignment horizontal="left" vertical="top"/>
    </xf>
  </cellXfs>
  <cellStyles count="7">
    <cellStyle name="0xAn+PrmstC2edytk0TIZzyeck5SL0qMZkI1dWy3WK4eiV7Z5zJLGWV2ahOXDpkN-~EbI7msCLmyGOF/HVfpxlsw==" xfId="4" xr:uid="{4FB3C1D2-6515-4E14-A0A4-05B153F56F81}"/>
    <cellStyle name="8F16Y1Nzrmr346fBizDUVcpM20RcsV1MVNzStvuYbaNhl/k52K3b35HOdX2gghbn-~/X5X1Fu7PeD954sNPSgQrg==" xfId="3" xr:uid="{EE2F3309-3BC8-4C49-96BE-C5556A7984D8}"/>
    <cellStyle name="Custom Style 1" xfId="2" xr:uid="{C2926C4B-C5B4-4081-A6CB-BD1233AF970A}"/>
    <cellStyle name="kSJ2Eco2Wutu0O9JY9e0x6XAQhz7WED3lPk61/oDN8bhSEA0ue+0ZDWxp0WFVfCP-~+RuuHRTSb9zQEh9BwUdiBg==" xfId="6" xr:uid="{8DBC4847-28CA-4FA3-9E41-DD69949B3705}"/>
    <cellStyle name="mmFvr9t4H2VMfzvARtWwZV56KMMkKAn7qqyImqdZ8Z4afq6UGrDCcN/4Xed0fE/q-~Gbz+6+4mRgvGnfHM88Ug0Q==" xfId="5" xr:uid="{E0AD713B-0311-444A-9FD3-A8E03FFEC03F}"/>
    <cellStyle name="Standard" xfId="0" builtinId="0"/>
    <cellStyle name="TsUeb7VJ2ZSbi0VtIv3abe+A2zfhtd4HNneFWrQoqr4m8zGaWP5Y9vJ2UCdba6Tl-~KmDD+IX1DVOzoa2/NubYuA==" xfId="1" xr:uid="{D53D1059-BD6A-4B19-9182-285C1D916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2" name="AutoShape 3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0CE65B3D-14D3-479B-9612-57188B41BBFA}"/>
            </a:ext>
          </a:extLst>
        </xdr:cNvPr>
        <xdr:cNvSpPr>
          <a:spLocks noChangeAspect="1" noChangeArrowheads="1"/>
        </xdr:cNvSpPr>
      </xdr:nvSpPr>
      <xdr:spPr bwMode="auto">
        <a:xfrm>
          <a:off x="554355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" name="AutoShape 4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1CC26919-C456-4E04-8F4B-7C09271E9E13}"/>
            </a:ext>
          </a:extLst>
        </xdr:cNvPr>
        <xdr:cNvSpPr>
          <a:spLocks noChangeAspect="1" noChangeArrowheads="1"/>
        </xdr:cNvSpPr>
      </xdr:nvSpPr>
      <xdr:spPr bwMode="auto">
        <a:xfrm>
          <a:off x="554355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4" name="AutoShape 5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E8674649-94DF-4FCF-8226-82F5C2661BE8}"/>
            </a:ext>
          </a:extLst>
        </xdr:cNvPr>
        <xdr:cNvSpPr>
          <a:spLocks noChangeAspect="1" noChangeArrowheads="1"/>
        </xdr:cNvSpPr>
      </xdr:nvSpPr>
      <xdr:spPr bwMode="auto">
        <a:xfrm>
          <a:off x="554355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5" name="AutoShape 6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3891218D-2985-4E03-AEA0-11343C23CC28}"/>
            </a:ext>
          </a:extLst>
        </xdr:cNvPr>
        <xdr:cNvSpPr>
          <a:spLocks noChangeAspect="1" noChangeArrowheads="1"/>
        </xdr:cNvSpPr>
      </xdr:nvSpPr>
      <xdr:spPr bwMode="auto">
        <a:xfrm>
          <a:off x="554355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6" name="AutoShape 7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93D6E254-903E-4CF5-B31F-1D7687AC8FE1}"/>
            </a:ext>
          </a:extLst>
        </xdr:cNvPr>
        <xdr:cNvSpPr>
          <a:spLocks noChangeAspect="1" noChangeArrowheads="1"/>
        </xdr:cNvSpPr>
      </xdr:nvSpPr>
      <xdr:spPr bwMode="auto">
        <a:xfrm>
          <a:off x="554355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971800" cy="1130497"/>
    <xdr:pic>
      <xdr:nvPicPr>
        <xdr:cNvPr id="7" name="Grafik 9">
          <a:extLst>
            <a:ext uri="{FF2B5EF4-FFF2-40B4-BE49-F238E27FC236}">
              <a16:creationId xmlns:a16="http://schemas.microsoft.com/office/drawing/2014/main" id="{FBE08A46-136A-408B-94D1-AE52B442F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1800" cy="113049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Marburger/AppData/Local/Microsoft/Windows/INetCache/Content.Outlook/JX338M6B/Module%205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 1-3 Analysis"/>
      <sheetName val="Sheet1"/>
    </sheetNames>
    <sheetDataSet>
      <sheetData sheetId="0"/>
      <sheetData sheetId="1">
        <row r="1">
          <cell r="A1" t="str">
            <v>F</v>
          </cell>
        </row>
        <row r="2">
          <cell r="A2" t="str">
            <v>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284C-1661-41ED-B342-F1B42A69CC2E}">
  <dimension ref="A1:L66"/>
  <sheetViews>
    <sheetView showGridLines="0" tabSelected="1" zoomScale="93" zoomScaleNormal="115" workbookViewId="0">
      <selection activeCell="C70" sqref="C70"/>
    </sheetView>
  </sheetViews>
  <sheetFormatPr baseColWidth="10" defaultColWidth="8.83203125" defaultRowHeight="16" x14ac:dyDescent="0.2"/>
  <cols>
    <col min="1" max="1" width="27.6640625" style="1" customWidth="1"/>
    <col min="2" max="2" width="28.6640625" style="1" bestFit="1" customWidth="1"/>
    <col min="3" max="7" width="15.6640625" style="1" customWidth="1"/>
    <col min="8" max="8" width="8.83203125" style="1"/>
    <col min="9" max="9" width="13.33203125" style="1" customWidth="1"/>
    <col min="10" max="16384" width="8.83203125" style="1"/>
  </cols>
  <sheetData>
    <row r="1" spans="1:12" ht="94" customHeight="1" x14ac:dyDescent="0.2">
      <c r="A1" s="2"/>
    </row>
    <row r="2" spans="1:12" ht="21" customHeight="1" x14ac:dyDescent="0.2">
      <c r="A2" s="35" t="s">
        <v>3</v>
      </c>
      <c r="B2" s="35"/>
      <c r="C2" s="35"/>
      <c r="D2" s="35"/>
      <c r="E2" s="35"/>
      <c r="F2" s="35"/>
      <c r="G2" s="35"/>
      <c r="H2" s="35"/>
      <c r="I2" s="11"/>
    </row>
    <row r="3" spans="1:12" ht="19" x14ac:dyDescent="0.2">
      <c r="A3" s="37" t="s">
        <v>4</v>
      </c>
      <c r="B3" s="37"/>
      <c r="C3" s="37"/>
      <c r="D3" s="25"/>
      <c r="E3" s="37"/>
      <c r="F3" s="37"/>
      <c r="G3" s="37"/>
      <c r="H3" s="12"/>
      <c r="I3" s="11"/>
    </row>
    <row r="4" spans="1:12" ht="19" x14ac:dyDescent="0.2">
      <c r="A4" s="26"/>
      <c r="B4" s="26"/>
      <c r="C4" s="26"/>
      <c r="D4" s="26"/>
      <c r="E4" s="26"/>
      <c r="F4" s="26"/>
      <c r="G4" s="26"/>
      <c r="H4" s="27"/>
      <c r="I4" s="11"/>
    </row>
    <row r="5" spans="1:12" ht="17" x14ac:dyDescent="0.2">
      <c r="A5" s="12"/>
      <c r="B5" s="15" t="s">
        <v>5</v>
      </c>
      <c r="C5" s="16">
        <v>0.05</v>
      </c>
      <c r="D5" s="14"/>
      <c r="E5" s="14"/>
      <c r="F5" s="14"/>
      <c r="G5" s="14"/>
      <c r="H5" s="12"/>
      <c r="I5" s="11"/>
    </row>
    <row r="6" spans="1:12" ht="15.5" customHeight="1" x14ac:dyDescent="0.2">
      <c r="A6" s="12"/>
      <c r="B6" s="13"/>
      <c r="C6" s="13"/>
      <c r="D6" s="13"/>
      <c r="E6" s="13"/>
      <c r="F6" s="13"/>
      <c r="G6" s="13"/>
      <c r="H6" s="12"/>
      <c r="I6" s="11"/>
    </row>
    <row r="7" spans="1:12" ht="17" thickBot="1" x14ac:dyDescent="0.25">
      <c r="A7" s="3"/>
      <c r="B7" s="17" t="s">
        <v>0</v>
      </c>
      <c r="C7" s="17">
        <v>0</v>
      </c>
      <c r="D7" s="18">
        <v>1</v>
      </c>
      <c r="E7" s="18">
        <v>2</v>
      </c>
      <c r="F7" s="18">
        <v>3</v>
      </c>
      <c r="G7" s="18">
        <v>4</v>
      </c>
      <c r="H7" s="3"/>
      <c r="I7" s="3"/>
    </row>
    <row r="8" spans="1:12" x14ac:dyDescent="0.2">
      <c r="A8" s="3"/>
      <c r="B8" s="38" t="s">
        <v>6</v>
      </c>
      <c r="C8" s="19">
        <v>-30000</v>
      </c>
      <c r="D8" s="20">
        <v>15000</v>
      </c>
      <c r="E8" s="20">
        <v>12000</v>
      </c>
      <c r="F8" s="20">
        <v>6000</v>
      </c>
      <c r="G8" s="20">
        <v>3000</v>
      </c>
      <c r="H8" s="3"/>
      <c r="I8" s="3"/>
    </row>
    <row r="9" spans="1:12" x14ac:dyDescent="0.2">
      <c r="A9" s="3"/>
      <c r="B9" s="39" t="s">
        <v>7</v>
      </c>
      <c r="C9" s="21">
        <v>-30000</v>
      </c>
      <c r="D9" s="22">
        <v>3000</v>
      </c>
      <c r="E9" s="22">
        <v>6000</v>
      </c>
      <c r="F9" s="22">
        <v>12000</v>
      </c>
      <c r="G9" s="22">
        <v>15000</v>
      </c>
      <c r="H9" s="3"/>
      <c r="I9" s="3"/>
    </row>
    <row r="10" spans="1:12" x14ac:dyDescent="0.2">
      <c r="A10" s="3"/>
      <c r="B10" s="40" t="s">
        <v>8</v>
      </c>
      <c r="C10" s="32">
        <v>0</v>
      </c>
      <c r="D10" s="33">
        <v>3000</v>
      </c>
      <c r="E10" s="33">
        <v>3000</v>
      </c>
      <c r="F10" s="33">
        <v>3000</v>
      </c>
      <c r="G10" s="33">
        <v>3000</v>
      </c>
      <c r="H10" s="3"/>
      <c r="I10" s="3"/>
    </row>
    <row r="11" spans="1:12" x14ac:dyDescent="0.2">
      <c r="A11" s="3"/>
      <c r="B11" s="3"/>
      <c r="C11" s="10"/>
      <c r="D11" s="3"/>
      <c r="E11" s="3"/>
      <c r="F11" s="3"/>
      <c r="G11" s="3"/>
      <c r="H11" s="3"/>
      <c r="I11" s="3"/>
    </row>
    <row r="12" spans="1:12" ht="19" x14ac:dyDescent="0.2">
      <c r="A12" s="36" t="s">
        <v>13</v>
      </c>
      <c r="B12" s="36"/>
      <c r="C12" s="36"/>
      <c r="D12" s="36"/>
      <c r="E12" s="36"/>
      <c r="F12" s="36"/>
      <c r="G12" s="36"/>
      <c r="H12" s="3"/>
      <c r="I12" s="3"/>
    </row>
    <row r="13" spans="1:12" ht="19" x14ac:dyDescent="0.2">
      <c r="A13" s="9"/>
      <c r="B13" s="9"/>
      <c r="C13" s="9"/>
      <c r="D13" s="9"/>
      <c r="E13" s="9"/>
      <c r="F13" s="9"/>
      <c r="G13" s="9"/>
      <c r="H13" s="3"/>
      <c r="I13" s="3"/>
    </row>
    <row r="14" spans="1:12" ht="17" x14ac:dyDescent="0.2">
      <c r="A14" s="3"/>
      <c r="B14" s="7" t="s">
        <v>9</v>
      </c>
      <c r="C14" s="24">
        <v>0</v>
      </c>
      <c r="D14" s="24">
        <v>1</v>
      </c>
      <c r="E14" s="24">
        <v>2</v>
      </c>
      <c r="F14" s="24">
        <v>3</v>
      </c>
      <c r="G14" s="24">
        <v>4</v>
      </c>
      <c r="H14" s="3"/>
      <c r="J14"/>
      <c r="L14"/>
    </row>
    <row r="15" spans="1:12" ht="17" x14ac:dyDescent="0.2">
      <c r="A15" s="3"/>
      <c r="B15" s="41" t="s">
        <v>11</v>
      </c>
      <c r="C15" s="4">
        <f>+C8/(1+$C$5)^C7</f>
        <v>-30000</v>
      </c>
      <c r="D15" s="4">
        <f>+D8/(1+$C$5)^D7</f>
        <v>14285.714285714284</v>
      </c>
      <c r="E15" s="4">
        <f>+E8/(1+$C$5)^E7</f>
        <v>10884.353741496598</v>
      </c>
      <c r="F15" s="4">
        <f>+F8/(1+$C$5)^F7</f>
        <v>5183.0255911888562</v>
      </c>
      <c r="G15" s="4">
        <f>+G8/(1+$C$5)^G7</f>
        <v>2468.1074243756461</v>
      </c>
      <c r="H15" s="3"/>
      <c r="I15" s="3"/>
    </row>
    <row r="16" spans="1:12" ht="17" x14ac:dyDescent="0.2">
      <c r="A16" s="3"/>
      <c r="B16" s="41" t="s">
        <v>12</v>
      </c>
      <c r="C16" s="29">
        <f>+SUM(C15:G15)</f>
        <v>2821.2010427753844</v>
      </c>
      <c r="D16" s="29"/>
      <c r="E16" s="29"/>
      <c r="F16" s="29"/>
      <c r="G16" s="29"/>
      <c r="H16" s="3"/>
      <c r="I16" s="3"/>
      <c r="J16" s="3"/>
    </row>
    <row r="17" spans="1:9" x14ac:dyDescent="0.2">
      <c r="A17" s="3"/>
      <c r="B17" s="5"/>
      <c r="D17" s="5"/>
      <c r="E17" s="3"/>
      <c r="F17" s="3"/>
      <c r="G17" s="3"/>
      <c r="H17" s="3"/>
      <c r="I17" s="3"/>
    </row>
    <row r="18" spans="1:9" x14ac:dyDescent="0.2">
      <c r="A18" s="3"/>
      <c r="B18" s="23" t="s">
        <v>10</v>
      </c>
      <c r="C18" s="24">
        <v>0</v>
      </c>
      <c r="D18" s="24">
        <v>1</v>
      </c>
      <c r="E18" s="24">
        <v>2</v>
      </c>
      <c r="F18" s="24">
        <v>3</v>
      </c>
      <c r="G18" s="24">
        <v>4</v>
      </c>
      <c r="H18" s="3"/>
      <c r="I18" s="3"/>
    </row>
    <row r="19" spans="1:9" ht="17" x14ac:dyDescent="0.2">
      <c r="A19" s="3"/>
      <c r="B19" s="41" t="s">
        <v>11</v>
      </c>
      <c r="C19" s="4">
        <f>+C9/(1+$C$5)^C7</f>
        <v>-30000</v>
      </c>
      <c r="D19" s="4">
        <f>+D9/(1+$C$5)^D7</f>
        <v>2857.1428571428569</v>
      </c>
      <c r="E19" s="4">
        <f>+E9/(1+$C$5)^E7</f>
        <v>5442.1768707482988</v>
      </c>
      <c r="F19" s="4">
        <f>+F9/(1+$C$5)^F7</f>
        <v>10366.051182377712</v>
      </c>
      <c r="G19" s="4">
        <f>+G9/(1+$C$5)^G7</f>
        <v>12340.537121878229</v>
      </c>
      <c r="H19" s="3"/>
      <c r="I19" s="3"/>
    </row>
    <row r="20" spans="1:9" ht="17" x14ac:dyDescent="0.2">
      <c r="A20" s="3"/>
      <c r="B20" s="41" t="s">
        <v>12</v>
      </c>
      <c r="C20" s="29">
        <f>+SUM(C19:G19)</f>
        <v>1005.9080321470956</v>
      </c>
      <c r="D20" s="29"/>
      <c r="E20" s="29"/>
      <c r="F20" s="29"/>
      <c r="G20" s="29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19" x14ac:dyDescent="0.2">
      <c r="A22" s="36" t="s">
        <v>14</v>
      </c>
      <c r="B22" s="36"/>
      <c r="C22" s="36"/>
      <c r="D22" s="36"/>
      <c r="E22" s="36"/>
      <c r="F22" s="36"/>
      <c r="G22" s="36"/>
      <c r="H22" s="3"/>
      <c r="I22" s="3"/>
    </row>
    <row r="23" spans="1:9" ht="19" x14ac:dyDescent="0.2">
      <c r="A23" s="9"/>
      <c r="B23" s="9"/>
      <c r="C23" s="9"/>
      <c r="D23" s="9"/>
      <c r="E23" s="9"/>
      <c r="F23" s="9"/>
      <c r="G23" s="9"/>
      <c r="H23" s="3"/>
      <c r="I23" s="3"/>
    </row>
    <row r="24" spans="1:9" ht="17" x14ac:dyDescent="0.2">
      <c r="A24" s="3"/>
      <c r="B24" s="7" t="s">
        <v>9</v>
      </c>
      <c r="C24" s="24">
        <v>0</v>
      </c>
      <c r="D24" s="24">
        <v>1</v>
      </c>
      <c r="E24" s="24">
        <v>2</v>
      </c>
      <c r="F24" s="24">
        <v>3</v>
      </c>
      <c r="G24" s="24">
        <v>4</v>
      </c>
      <c r="H24" s="3"/>
      <c r="I24" s="3"/>
    </row>
    <row r="25" spans="1:9" ht="17" x14ac:dyDescent="0.2">
      <c r="A25" s="3"/>
      <c r="B25" s="41" t="s">
        <v>21</v>
      </c>
      <c r="C25" s="4">
        <f>+C8</f>
        <v>-30000</v>
      </c>
      <c r="D25" s="4">
        <f t="shared" ref="D25:G25" si="0">+D8</f>
        <v>15000</v>
      </c>
      <c r="E25" s="4">
        <f t="shared" si="0"/>
        <v>12000</v>
      </c>
      <c r="F25" s="4">
        <f t="shared" si="0"/>
        <v>6000</v>
      </c>
      <c r="G25" s="4">
        <f t="shared" si="0"/>
        <v>3000</v>
      </c>
    </row>
    <row r="26" spans="1:9" ht="17" x14ac:dyDescent="0.2">
      <c r="A26" s="3"/>
      <c r="B26" s="41" t="s">
        <v>20</v>
      </c>
      <c r="C26" s="4">
        <f>+C25</f>
        <v>-30000</v>
      </c>
      <c r="D26" s="4">
        <f>+C26+D25</f>
        <v>-15000</v>
      </c>
      <c r="E26" s="4">
        <f t="shared" ref="E26:G26" si="1">+D26+E25</f>
        <v>-3000</v>
      </c>
      <c r="F26" s="4">
        <f t="shared" si="1"/>
        <v>3000</v>
      </c>
      <c r="G26" s="4">
        <f t="shared" si="1"/>
        <v>6000</v>
      </c>
    </row>
    <row r="27" spans="1:9" ht="17" x14ac:dyDescent="0.2">
      <c r="A27" s="3"/>
      <c r="B27" s="41" t="s">
        <v>15</v>
      </c>
      <c r="C27" s="8">
        <f>+E24+(-E26)/F25</f>
        <v>2.5</v>
      </c>
      <c r="D27" s="4"/>
      <c r="E27" s="4"/>
      <c r="F27" s="4"/>
      <c r="G27" s="4"/>
    </row>
    <row r="28" spans="1:9" x14ac:dyDescent="0.2">
      <c r="A28" s="3"/>
    </row>
    <row r="29" spans="1:9" x14ac:dyDescent="0.2">
      <c r="A29" s="3"/>
      <c r="B29" s="23" t="s">
        <v>10</v>
      </c>
      <c r="C29" s="24">
        <v>0</v>
      </c>
      <c r="D29" s="24">
        <v>1</v>
      </c>
      <c r="E29" s="24">
        <v>2</v>
      </c>
      <c r="F29" s="24">
        <v>3</v>
      </c>
      <c r="G29" s="24">
        <v>4</v>
      </c>
    </row>
    <row r="30" spans="1:9" ht="17" x14ac:dyDescent="0.2">
      <c r="A30" s="3"/>
      <c r="B30" s="41" t="s">
        <v>21</v>
      </c>
      <c r="C30" s="4">
        <f>+C9</f>
        <v>-30000</v>
      </c>
      <c r="D30" s="4">
        <f>+D9</f>
        <v>3000</v>
      </c>
      <c r="E30" s="4">
        <f>+E9</f>
        <v>6000</v>
      </c>
      <c r="F30" s="4">
        <f>+F9</f>
        <v>12000</v>
      </c>
      <c r="G30" s="4">
        <f>+G9</f>
        <v>15000</v>
      </c>
    </row>
    <row r="31" spans="1:9" ht="17" x14ac:dyDescent="0.2">
      <c r="B31" s="41" t="s">
        <v>20</v>
      </c>
      <c r="C31" s="4">
        <f>+C30</f>
        <v>-30000</v>
      </c>
      <c r="D31" s="4">
        <f>+C31+D30</f>
        <v>-27000</v>
      </c>
      <c r="E31" s="4">
        <f t="shared" ref="E31" si="2">+D31+E30</f>
        <v>-21000</v>
      </c>
      <c r="F31" s="4">
        <f t="shared" ref="F31" si="3">+E31+F30</f>
        <v>-9000</v>
      </c>
      <c r="G31" s="4">
        <f t="shared" ref="G31" si="4">+F31+G30</f>
        <v>6000</v>
      </c>
    </row>
    <row r="32" spans="1:9" ht="17" x14ac:dyDescent="0.2">
      <c r="B32" s="41" t="s">
        <v>15</v>
      </c>
      <c r="C32" s="8">
        <f>+F29+(-F31)/G30</f>
        <v>3.6</v>
      </c>
      <c r="D32" s="28"/>
      <c r="E32" s="28"/>
      <c r="F32" s="28"/>
      <c r="G32" s="28"/>
    </row>
    <row r="34" spans="1:7" ht="19" x14ac:dyDescent="0.2">
      <c r="A34" s="36" t="s">
        <v>16</v>
      </c>
      <c r="B34" s="36"/>
      <c r="C34" s="36"/>
      <c r="D34" s="36"/>
      <c r="E34" s="36"/>
      <c r="F34" s="36"/>
      <c r="G34" s="36"/>
    </row>
    <row r="35" spans="1:7" ht="19" x14ac:dyDescent="0.2">
      <c r="A35" s="9"/>
      <c r="B35" s="9"/>
      <c r="C35" s="9"/>
      <c r="D35" s="9"/>
      <c r="E35" s="9"/>
      <c r="F35" s="9"/>
      <c r="G35" s="9"/>
    </row>
    <row r="36" spans="1:7" ht="17" x14ac:dyDescent="0.2">
      <c r="A36" s="3"/>
      <c r="B36" s="7" t="s">
        <v>9</v>
      </c>
      <c r="C36" s="24">
        <v>0</v>
      </c>
      <c r="D36" s="24">
        <v>1</v>
      </c>
      <c r="E36" s="24">
        <v>2</v>
      </c>
      <c r="F36" s="24">
        <v>3</v>
      </c>
      <c r="G36" s="24">
        <v>4</v>
      </c>
    </row>
    <row r="37" spans="1:7" x14ac:dyDescent="0.2">
      <c r="A37" s="3"/>
      <c r="B37" s="42" t="s">
        <v>19</v>
      </c>
      <c r="C37" s="4">
        <f>+C15</f>
        <v>-30000</v>
      </c>
      <c r="D37" s="4">
        <f t="shared" ref="D37:G37" si="5">+D15</f>
        <v>14285.714285714284</v>
      </c>
      <c r="E37" s="4">
        <f t="shared" si="5"/>
        <v>10884.353741496598</v>
      </c>
      <c r="F37" s="4">
        <f t="shared" si="5"/>
        <v>5183.0255911888562</v>
      </c>
      <c r="G37" s="4">
        <f t="shared" si="5"/>
        <v>2468.1074243756461</v>
      </c>
    </row>
    <row r="38" spans="1:7" ht="15.5" customHeight="1" x14ac:dyDescent="0.2">
      <c r="A38" s="3"/>
      <c r="B38" s="41" t="s">
        <v>20</v>
      </c>
      <c r="C38" s="4">
        <f>+C37</f>
        <v>-30000</v>
      </c>
      <c r="D38" s="4">
        <f>+C38+D37</f>
        <v>-15714.285714285716</v>
      </c>
      <c r="E38" s="4">
        <f t="shared" ref="E38" si="6">+D38+E37</f>
        <v>-4829.9319727891179</v>
      </c>
      <c r="F38" s="4">
        <f t="shared" ref="F38" si="7">+E38+F37</f>
        <v>353.09361839973826</v>
      </c>
      <c r="G38" s="4">
        <f t="shared" ref="G38" si="8">+F38+G37</f>
        <v>2821.2010427753844</v>
      </c>
    </row>
    <row r="39" spans="1:7" ht="17" x14ac:dyDescent="0.2">
      <c r="A39" s="3"/>
      <c r="B39" s="41" t="s">
        <v>15</v>
      </c>
      <c r="C39" s="8">
        <f>+E36+(-E38)/F37</f>
        <v>2.9318750000000007</v>
      </c>
      <c r="D39" s="8"/>
      <c r="E39" s="8"/>
      <c r="F39" s="8"/>
      <c r="G39" s="8"/>
    </row>
    <row r="40" spans="1:7" x14ac:dyDescent="0.2">
      <c r="A40" s="3"/>
    </row>
    <row r="41" spans="1:7" x14ac:dyDescent="0.2">
      <c r="A41" s="3"/>
      <c r="B41" s="23" t="s">
        <v>10</v>
      </c>
      <c r="C41" s="24">
        <v>0</v>
      </c>
      <c r="D41" s="24">
        <v>1</v>
      </c>
      <c r="E41" s="24">
        <v>2</v>
      </c>
      <c r="F41" s="24">
        <v>3</v>
      </c>
      <c r="G41" s="24">
        <v>4</v>
      </c>
    </row>
    <row r="42" spans="1:7" x14ac:dyDescent="0.2">
      <c r="A42" s="3"/>
      <c r="B42" s="42" t="s">
        <v>19</v>
      </c>
      <c r="C42" s="4">
        <f>+C19</f>
        <v>-30000</v>
      </c>
      <c r="D42" s="4">
        <f t="shared" ref="D42:G42" si="9">+D19</f>
        <v>2857.1428571428569</v>
      </c>
      <c r="E42" s="4">
        <f t="shared" si="9"/>
        <v>5442.1768707482988</v>
      </c>
      <c r="F42" s="4">
        <f t="shared" si="9"/>
        <v>10366.051182377712</v>
      </c>
      <c r="G42" s="4">
        <f t="shared" si="9"/>
        <v>12340.537121878229</v>
      </c>
    </row>
    <row r="43" spans="1:7" ht="17" x14ac:dyDescent="0.2">
      <c r="B43" s="41" t="s">
        <v>20</v>
      </c>
      <c r="C43" s="4">
        <f>+C42</f>
        <v>-30000</v>
      </c>
      <c r="D43" s="4">
        <f>+C43+D42</f>
        <v>-27142.857142857145</v>
      </c>
      <c r="E43" s="4">
        <f t="shared" ref="E43" si="10">+D43+E42</f>
        <v>-21700.680272108846</v>
      </c>
      <c r="F43" s="4">
        <f t="shared" ref="F43" si="11">+E43+F42</f>
        <v>-11334.629089731134</v>
      </c>
      <c r="G43" s="4">
        <f t="shared" ref="G43" si="12">+F43+G42</f>
        <v>1005.9080321470956</v>
      </c>
    </row>
    <row r="44" spans="1:7" ht="17" x14ac:dyDescent="0.2">
      <c r="B44" s="41" t="s">
        <v>15</v>
      </c>
      <c r="C44" s="8">
        <f>+F41+(-F43)/G42</f>
        <v>3.9184875000000003</v>
      </c>
      <c r="D44" s="8"/>
      <c r="E44" s="8"/>
      <c r="F44" s="8"/>
      <c r="G44" s="8"/>
    </row>
    <row r="45" spans="1:7" x14ac:dyDescent="0.2">
      <c r="B45" s="30"/>
    </row>
    <row r="46" spans="1:7" ht="19" x14ac:dyDescent="0.2">
      <c r="A46" s="36" t="s">
        <v>17</v>
      </c>
      <c r="B46" s="36"/>
      <c r="C46" s="36"/>
      <c r="D46" s="36"/>
      <c r="E46" s="36"/>
      <c r="F46" s="36"/>
      <c r="G46" s="36"/>
    </row>
    <row r="47" spans="1:7" ht="19" x14ac:dyDescent="0.2">
      <c r="A47" s="9"/>
      <c r="B47" s="9"/>
      <c r="C47" s="9"/>
      <c r="D47" s="9"/>
      <c r="E47" s="9"/>
      <c r="F47" s="9"/>
      <c r="G47" s="9"/>
    </row>
    <row r="48" spans="1:7" ht="17" x14ac:dyDescent="0.2">
      <c r="A48" s="3"/>
      <c r="B48" s="7" t="s">
        <v>9</v>
      </c>
      <c r="C48" s="24">
        <v>0</v>
      </c>
      <c r="D48" s="24">
        <v>1</v>
      </c>
      <c r="E48" s="24">
        <v>2</v>
      </c>
      <c r="F48" s="24">
        <v>3</v>
      </c>
      <c r="G48" s="24">
        <v>4</v>
      </c>
    </row>
    <row r="49" spans="1:7" x14ac:dyDescent="0.2">
      <c r="A49" s="3"/>
      <c r="B49" s="42" t="s">
        <v>18</v>
      </c>
      <c r="C49" s="4">
        <f>+C8</f>
        <v>-30000</v>
      </c>
      <c r="D49" s="4">
        <f t="shared" ref="D49:G49" si="13">+D8</f>
        <v>15000</v>
      </c>
      <c r="E49" s="4">
        <f t="shared" si="13"/>
        <v>12000</v>
      </c>
      <c r="F49" s="4">
        <f t="shared" si="13"/>
        <v>6000</v>
      </c>
      <c r="G49" s="4">
        <f t="shared" si="13"/>
        <v>3000</v>
      </c>
    </row>
    <row r="50" spans="1:7" ht="17" x14ac:dyDescent="0.2">
      <c r="A50" s="3"/>
      <c r="B50" s="6" t="s">
        <v>1</v>
      </c>
      <c r="C50" s="31">
        <f>+IRR(C49:G49)</f>
        <v>0.10221261886602884</v>
      </c>
      <c r="D50" s="4"/>
      <c r="E50" s="4"/>
      <c r="F50" s="4"/>
      <c r="G50" s="4"/>
    </row>
    <row r="51" spans="1:7" x14ac:dyDescent="0.2">
      <c r="A51" s="3"/>
    </row>
    <row r="52" spans="1:7" x14ac:dyDescent="0.2">
      <c r="A52" s="3"/>
      <c r="B52" s="23" t="s">
        <v>10</v>
      </c>
      <c r="C52" s="24">
        <v>0</v>
      </c>
      <c r="D52" s="24">
        <v>1</v>
      </c>
      <c r="E52" s="24">
        <v>2</v>
      </c>
      <c r="F52" s="24">
        <v>3</v>
      </c>
      <c r="G52" s="24">
        <v>4</v>
      </c>
    </row>
    <row r="53" spans="1:7" x14ac:dyDescent="0.2">
      <c r="A53" s="3"/>
      <c r="B53" s="42" t="s">
        <v>18</v>
      </c>
      <c r="C53" s="4">
        <f>+C9</f>
        <v>-30000</v>
      </c>
      <c r="D53" s="4">
        <f t="shared" ref="D53:G53" si="14">+D9</f>
        <v>3000</v>
      </c>
      <c r="E53" s="4">
        <f t="shared" si="14"/>
        <v>6000</v>
      </c>
      <c r="F53" s="4">
        <f t="shared" si="14"/>
        <v>12000</v>
      </c>
      <c r="G53" s="4">
        <f t="shared" si="14"/>
        <v>15000</v>
      </c>
    </row>
    <row r="54" spans="1:7" ht="17" x14ac:dyDescent="0.2">
      <c r="B54" s="6" t="s">
        <v>1</v>
      </c>
      <c r="C54" s="31">
        <f>+IRR(C53:G53)</f>
        <v>6.1479607359796518E-2</v>
      </c>
      <c r="D54" s="4"/>
      <c r="E54" s="4"/>
      <c r="F54" s="4"/>
      <c r="G54" s="4"/>
    </row>
    <row r="56" spans="1:7" ht="19" x14ac:dyDescent="0.2">
      <c r="A56" s="36" t="s">
        <v>22</v>
      </c>
      <c r="B56" s="36"/>
      <c r="C56" s="36"/>
      <c r="D56" s="36"/>
      <c r="E56" s="36"/>
      <c r="F56" s="36"/>
      <c r="G56" s="36"/>
    </row>
    <row r="57" spans="1:7" ht="19" x14ac:dyDescent="0.2">
      <c r="A57" s="9"/>
      <c r="B57" s="9"/>
      <c r="C57" s="9"/>
      <c r="D57" s="9"/>
      <c r="E57" s="9"/>
      <c r="F57" s="9"/>
      <c r="G57" s="9"/>
    </row>
    <row r="58" spans="1:7" ht="17" x14ac:dyDescent="0.2">
      <c r="A58" s="3"/>
      <c r="B58" s="7" t="s">
        <v>9</v>
      </c>
      <c r="C58" s="24"/>
    </row>
    <row r="59" spans="1:7" ht="68" x14ac:dyDescent="0.2">
      <c r="A59" s="3"/>
      <c r="B59" s="41" t="s">
        <v>24</v>
      </c>
      <c r="C59" s="4">
        <f>+SUM(D8:G8)/4-D10</f>
        <v>6000</v>
      </c>
    </row>
    <row r="60" spans="1:7" ht="17" x14ac:dyDescent="0.2">
      <c r="A60" s="3"/>
      <c r="B60" s="41" t="s">
        <v>23</v>
      </c>
      <c r="C60" s="4">
        <f>+(-C8)</f>
        <v>30000</v>
      </c>
    </row>
    <row r="61" spans="1:7" ht="17" x14ac:dyDescent="0.2">
      <c r="A61" s="3"/>
      <c r="B61" s="6" t="s">
        <v>2</v>
      </c>
      <c r="C61" s="31">
        <f>+C59/C60</f>
        <v>0.2</v>
      </c>
    </row>
    <row r="62" spans="1:7" x14ac:dyDescent="0.2">
      <c r="A62" s="3"/>
      <c r="C62" s="34"/>
    </row>
    <row r="63" spans="1:7" x14ac:dyDescent="0.2">
      <c r="A63" s="3"/>
      <c r="B63" s="23" t="s">
        <v>10</v>
      </c>
      <c r="C63" s="24"/>
    </row>
    <row r="64" spans="1:7" ht="68" x14ac:dyDescent="0.2">
      <c r="A64" s="3"/>
      <c r="B64" s="41" t="s">
        <v>24</v>
      </c>
      <c r="C64" s="4">
        <f>+SUM(D9:G9)/4-D10</f>
        <v>6000</v>
      </c>
    </row>
    <row r="65" spans="2:3" ht="17" x14ac:dyDescent="0.2">
      <c r="B65" s="41" t="s">
        <v>23</v>
      </c>
      <c r="C65" s="4">
        <f>+(-C9)</f>
        <v>30000</v>
      </c>
    </row>
    <row r="66" spans="2:3" ht="17" x14ac:dyDescent="0.2">
      <c r="B66" s="6" t="s">
        <v>2</v>
      </c>
      <c r="C66" s="31">
        <f>+C64/C65</f>
        <v>0.2</v>
      </c>
    </row>
  </sheetData>
  <mergeCells count="13">
    <mergeCell ref="A56:D56"/>
    <mergeCell ref="E56:G56"/>
    <mergeCell ref="A22:D22"/>
    <mergeCell ref="E22:G22"/>
    <mergeCell ref="A34:D34"/>
    <mergeCell ref="E34:G34"/>
    <mergeCell ref="A46:D46"/>
    <mergeCell ref="E46:G46"/>
    <mergeCell ref="A2:H2"/>
    <mergeCell ref="A12:D12"/>
    <mergeCell ref="E3:G3"/>
    <mergeCell ref="E12:G12"/>
    <mergeCell ref="A3:C3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Kapitalbedarfsrechnung</vt:lpstr>
    </vt:vector>
  </TitlesOfParts>
  <Company>Universitaet Sankt Gallen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Marburger, Leon</dc:creator>
  <cp:lastModifiedBy>Stopp, Sophie</cp:lastModifiedBy>
  <dcterms:created xsi:type="dcterms:W3CDTF">2020-07-12T09:29:18Z</dcterms:created>
  <dcterms:modified xsi:type="dcterms:W3CDTF">2021-02-10T09:31:13Z</dcterms:modified>
</cp:coreProperties>
</file>